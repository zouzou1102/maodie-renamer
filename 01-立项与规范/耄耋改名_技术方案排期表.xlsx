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里程碑总览" sheetId="1" state="visible" r:id="rId1"/>
    <sheet xmlns:r="http://schemas.openxmlformats.org/officeDocument/2006/relationships" name="任务明细" sheetId="2" state="visible" r:id="rId2"/>
    <sheet xmlns:r="http://schemas.openxmlformats.org/officeDocument/2006/relationships" name="验收用例对照" sheetId="3" state="visible" r:id="rId3"/>
    <sheet xmlns:r="http://schemas.openxmlformats.org/officeDocument/2006/relationships" name="假设与口径" sheetId="4" state="visible" r:id="rId4"/>
  </sheets>
  <definedNames>
    <definedName name="_xlnm._FilterDatabase" localSheetId="1" hidden="1">'任务明细'!$A$3:$K$48</definedName>
    <definedName name="_xlnm._FilterDatabase" localSheetId="2" hidden="1">'验收用例对照'!$A$2:$G$20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%"/>
    <numFmt numFmtId="166" formatCode="yyyy-mm-dd"/>
  </numFmts>
  <fonts count="10">
    <font>
      <name val="Calibri"/>
      <family val="2"/>
      <color theme="1"/>
      <sz val="11"/>
      <scheme val="minor"/>
    </font>
    <font>
      <name val="微软雅黑"/>
      <b val="1"/>
      <color rgb="FF2F5597"/>
      <sz val="13"/>
    </font>
    <font>
      <name val="微软雅黑"/>
      <color rgb="FF6B6B6B"/>
      <sz val="9"/>
    </font>
    <font>
      <name val="微软雅黑"/>
      <b val="1"/>
      <color rgb="FFFFFFFF"/>
      <sz val="10"/>
    </font>
    <font>
      <name val="微软雅黑"/>
      <b val="1"/>
      <sz val="10"/>
    </font>
    <font>
      <name val="微软雅黑"/>
      <sz val="10"/>
    </font>
    <font>
      <name val="微软雅黑"/>
      <b val="1"/>
      <color rgb="FF9C6500"/>
      <sz val="10"/>
    </font>
    <font>
      <name val="微软雅黑"/>
      <b val="1"/>
      <color rgb="FF006100"/>
      <sz val="10"/>
    </font>
    <font>
      <name val="微软雅黑"/>
      <b val="1"/>
      <color rgb="FF9C0006"/>
      <sz val="10"/>
    </font>
    <font>
      <name val="微软雅黑"/>
      <b val="1"/>
      <color rgb="FF2F5597"/>
      <sz val="11"/>
    </font>
  </fonts>
  <fills count="9">
    <fill>
      <patternFill/>
    </fill>
    <fill>
      <patternFill patternType="gray125"/>
    </fill>
    <fill>
      <patternFill patternType="solid">
        <fgColor rgb="FF70AD47"/>
      </patternFill>
    </fill>
    <fill>
      <patternFill patternType="solid">
        <fgColor rgb="FF548235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medium">
        <color rgb="FF548235"/>
      </top>
      <bottom style="thin">
        <color rgb="FFBFBFBF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 wrapText="1"/>
    </xf>
    <xf numFmtId="164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left" vertical="center"/>
    </xf>
    <xf numFmtId="164" fontId="0" fillId="3" borderId="2" applyAlignment="1" pivotButton="0" quotePrefix="0" xfId="0">
      <alignment horizontal="center" vertical="center"/>
    </xf>
    <xf numFmtId="165" fontId="0" fillId="3" borderId="2" applyAlignment="1" pivotButton="0" quotePrefix="0" xfId="0">
      <alignment horizontal="center" vertical="center"/>
    </xf>
    <xf numFmtId="1" fontId="0" fillId="3" borderId="2" applyAlignment="1" pivotButton="0" quotePrefix="0" xfId="0">
      <alignment horizontal="center" vertical="center"/>
    </xf>
    <xf numFmtId="166" fontId="0" fillId="3" borderId="2" applyAlignment="1" pivotButton="0" quotePrefix="0" xfId="0">
      <alignment horizontal="center" vertical="center"/>
    </xf>
    <xf numFmtId="0" fontId="1" fillId="0" borderId="0" pivotButton="0" quotePrefix="0" xfId="0"/>
    <xf numFmtId="164" fontId="4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6" fontId="4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166" fontId="0" fillId="4" borderId="1" applyAlignment="1" pivotButton="0" quotePrefix="0" xfId="0">
      <alignment horizontal="center" vertical="center" wrapText="1"/>
    </xf>
    <xf numFmtId="164" fontId="3" fillId="3" borderId="2" applyAlignment="1" pivotButton="0" quotePrefix="0" xfId="0">
      <alignment horizontal="center" vertical="center"/>
    </xf>
    <xf numFmtId="166" fontId="3" fillId="3" borderId="2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166" fontId="4" fillId="5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center" vertical="center"/>
    </xf>
    <xf numFmtId="0" fontId="0" fillId="0" borderId="1" pivotButton="0" quotePrefix="0" xfId="0"/>
    <xf numFmtId="1" fontId="4" fillId="4" borderId="1" applyAlignment="1" pivotButton="0" quotePrefix="0" xfId="0">
      <alignment horizontal="center" vertical="center"/>
    </xf>
    <xf numFmtId="0" fontId="9" fillId="0" borderId="0" pivotButton="0" quotePrefix="0" xfId="0"/>
    <xf numFmtId="0" fontId="5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dxfs count="4">
    <dxf>
      <font>
        <name val="微软雅黑"/>
        <b val="1"/>
        <color rgb="FF006100"/>
        <sz val="10"/>
      </font>
      <fill>
        <patternFill patternType="solid">
          <fgColor rgb="FFC6EFCE"/>
        </patternFill>
      </fill>
    </dxf>
    <dxf>
      <font>
        <name val="微软雅黑"/>
        <b val="1"/>
        <color rgb="FF9C6500"/>
        <sz val="10"/>
      </font>
      <fill>
        <patternFill patternType="solid">
          <fgColor rgb="FFFFEB9C"/>
        </patternFill>
      </fill>
    </dxf>
    <dxf>
      <font>
        <name val="微软雅黑"/>
        <b val="1"/>
        <color rgb="FF9C0006"/>
        <sz val="10"/>
      </font>
      <fill>
        <patternFill patternType="solid">
          <fgColor rgb="FFFFC7CE"/>
        </patternFill>
      </fill>
    </dxf>
    <dxf>
      <font>
        <name val="微软雅黑"/>
        <b val="1"/>
        <color rgb="FF9C0006"/>
        <sz val="1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52" customWidth="1" min="3" max="3"/>
    <col width="7" customWidth="1" min="4" max="4"/>
    <col width="10" customWidth="1" min="5" max="5"/>
    <col width="10" customWidth="1" min="6" max="6"/>
    <col width="12" customWidth="1" min="7" max="7"/>
    <col width="12" customWidth="1" min="8" max="8"/>
    <col width="12" customWidth="1" min="9" max="9"/>
    <col width="12" customWidth="1" min="10" max="10"/>
    <col width="34" customWidth="1" min="11" max="11"/>
    <col width="10" customWidth="1" min="12" max="12"/>
    <col width="22" customWidth="1" min="13" max="13"/>
  </cols>
  <sheetData>
    <row r="1" ht="26" customHeight="1">
      <c r="A1" s="1" t="inlineStr">
        <is>
          <t>耄耋改名 · 技术方案实施排期总览</t>
        </is>
      </c>
    </row>
    <row r="2" ht="18" customHeight="1">
      <c r="A2" s="2" t="inlineStr">
        <is>
          <t>人日 = 3 小时有效投入；日历天 = 人日 × 比率（见「假设与口径」）；结束日期 = 起始日期 + 累计日历天 − 1；状态由「任务明细」自动汇总，不需手填</t>
        </is>
      </c>
    </row>
    <row r="3" ht="30" customHeight="1">
      <c r="A3" s="3" t="inlineStr">
        <is>
          <t>里程碑</t>
        </is>
      </c>
      <c r="B3" s="3" t="inlineStr">
        <is>
          <t>阶段</t>
        </is>
      </c>
      <c r="C3" s="3" t="inlineStr">
        <is>
          <t>主要内容</t>
        </is>
      </c>
      <c r="D3" s="3" t="inlineStr">
        <is>
          <t>人日</t>
        </is>
      </c>
      <c r="E3" s="3" t="inlineStr">
        <is>
          <t>累计人日</t>
        </is>
      </c>
      <c r="F3" s="3" t="inlineStr">
        <is>
          <t>占总量比</t>
        </is>
      </c>
      <c r="G3" s="3" t="inlineStr">
        <is>
          <t>折算日历天</t>
        </is>
      </c>
      <c r="H3" s="3" t="inlineStr">
        <is>
          <t>开始日期</t>
        </is>
      </c>
      <c r="I3" s="3" t="inlineStr">
        <is>
          <t>结束日期</t>
        </is>
      </c>
      <c r="J3" s="3" t="inlineStr">
        <is>
          <t>依赖</t>
        </is>
      </c>
      <c r="K3" s="3" t="inlineStr">
        <is>
          <t>主要交付物</t>
        </is>
      </c>
      <c r="L3" s="3" t="inlineStr">
        <is>
          <t>状态</t>
        </is>
      </c>
      <c r="M3" s="3" t="inlineStr">
        <is>
          <t>工作量可视化</t>
        </is>
      </c>
    </row>
    <row r="4" ht="42" customHeight="1">
      <c r="A4" s="4" t="inlineStr">
        <is>
          <t>MS-1</t>
        </is>
      </c>
      <c r="B4" s="5" t="inlineStr">
        <is>
          <t>引擎先行</t>
        </is>
      </c>
      <c r="C4" s="6" t="inlineStr">
        <is>
          <t>规则引擎 + 冲突检测 + 扩展名保护 + 两阶段改名 + 存储与撤销服务；命令行可验证</t>
        </is>
      </c>
      <c r="D4" s="7">
        <f>SUMIF(任务明细!$B$4:$B$48,$A4,任务明细!$E$4:$E$48)</f>
        <v/>
      </c>
      <c r="E4" s="7">
        <f>SUM($D$4:D4)</f>
        <v/>
      </c>
      <c r="F4" s="8">
        <f>IF($E$9=0,"",D4/$E$9)</f>
        <v/>
      </c>
      <c r="G4" s="9">
        <f>ROUND(E4*假设与口径!$B$7,0)</f>
        <v/>
      </c>
      <c r="H4" s="10">
        <f>假设与口径!$B$4</f>
        <v/>
      </c>
      <c r="I4" s="10">
        <f>假设与口径!$B$4+$G4-1</f>
        <v/>
      </c>
      <c r="J4" s="5" t="inlineStr">
        <is>
          <t>—</t>
        </is>
      </c>
      <c r="K4" s="6" t="inlineStr">
        <is>
          <t>可命令行验证的改名内核；引擎单测覆盖率 ≥ 90%</t>
        </is>
      </c>
      <c r="L4" s="11">
        <f>IF(COUNTIF(任务明细!$B$4:$B$48,$A4)=0,"未开始",IF(COUNTIFS(任务明细!$B$4:$B$48,$A4,任务明细!$H$4:$H$48,"已完成")=COUNTIF(任务明细!$B$4:$B$48,$A4),"已完成",IF(COUNTIFS(任务明细!$B$4:$B$48,$A4,任务明细!$H$4:$H$48,"未开始")=COUNTIF(任务明细!$B$4:$B$48,$A4),"未开始","进行中")))</f>
        <v/>
      </c>
      <c r="M4" s="11">
        <f>REPT("█",MAX(1,ROUND($D4/MAX($D$4:$D$8)*18,0)))</f>
        <v/>
      </c>
    </row>
    <row r="5" ht="42" customHeight="1">
      <c r="A5" s="4" t="inlineStr">
        <is>
          <t>MS-2</t>
        </is>
      </c>
      <c r="B5" s="5" t="inlineStr">
        <is>
          <t>界面成型</t>
        </is>
      </c>
      <c r="C5" s="6" t="inlineStr">
        <is>
          <t>SCR-01 主窗口 UI + 文件列表 + 规则区 + 实时预览（Worker）+ 虚拟滚动</t>
        </is>
      </c>
      <c r="D5" s="7">
        <f>SUMIF(任务明细!$B$4:$B$48,$A5,任务明细!$E$4:$E$48)</f>
        <v/>
      </c>
      <c r="E5" s="7">
        <f>SUM($D$4:D5)</f>
        <v/>
      </c>
      <c r="F5" s="8">
        <f>IF($E$9=0,"",D5/$E$9)</f>
        <v/>
      </c>
      <c r="G5" s="9">
        <f>ROUND(E5*假设与口径!$B$7,0)</f>
        <v/>
      </c>
      <c r="H5" s="10">
        <f>I4+1</f>
        <v/>
      </c>
      <c r="I5" s="10">
        <f>假设与口径!$B$4+$G5-1</f>
        <v/>
      </c>
      <c r="J5" s="5" t="inlineStr">
        <is>
          <t>MS-1</t>
        </is>
      </c>
      <c r="K5" s="6" t="inlineStr">
        <is>
          <t>能用的界面（无形象），可完成一次完整改名</t>
        </is>
      </c>
      <c r="L5" s="11">
        <f>IF(COUNTIF(任务明细!$B$4:$B$48,$A5)=0,"未开始",IF(COUNTIFS(任务明细!$B$4:$B$48,$A5,任务明细!$H$4:$H$48,"已完成")=COUNTIF(任务明细!$B$4:$B$48,$A5),"已完成",IF(COUNTIFS(任务明细!$B$4:$B$48,$A5,任务明细!$H$4:$H$48,"未开始")=COUNTIF(任务明细!$B$4:$B$48,$A5),"未开始","进行中")))</f>
        <v/>
      </c>
      <c r="M5" s="11">
        <f>REPT("█",MAX(1,ROUND($D5/MAX($D$4:$D$8)*18,0)))</f>
        <v/>
      </c>
    </row>
    <row r="6" ht="42" customHeight="1">
      <c r="A6" s="4" t="inlineStr">
        <is>
          <t>MS-3</t>
        </is>
      </c>
      <c r="B6" s="5" t="inlineStr">
        <is>
          <t>注入灵魂</t>
        </is>
      </c>
      <c r="C6" s="6" t="inlineStr">
        <is>
          <t>耄耋 5 状态动画 + ST-03 咬名字 + 音效 + 微动效 + 减少动画开关</t>
        </is>
      </c>
      <c r="D6" s="7">
        <f>SUMIF(任务明细!$B$4:$B$48,$A6,任务明细!$E$4:$E$48)</f>
        <v/>
      </c>
      <c r="E6" s="7">
        <f>SUM($D$4:D6)</f>
        <v/>
      </c>
      <c r="F6" s="8">
        <f>IF($E$9=0,"",D6/$E$9)</f>
        <v/>
      </c>
      <c r="G6" s="9">
        <f>ROUND(E6*假设与口径!$B$7,0)</f>
        <v/>
      </c>
      <c r="H6" s="10">
        <f>I5+1</f>
        <v/>
      </c>
      <c r="I6" s="10">
        <f>假设与口径!$B$4+$G6-1</f>
        <v/>
      </c>
      <c r="J6" s="5" t="inlineStr">
        <is>
          <t>MS-2</t>
        </is>
      </c>
      <c r="K6" s="6" t="inlineStr">
        <is>
          <t>有灵魂的 UI；动作歧义自查通过</t>
        </is>
      </c>
      <c r="L6" s="11">
        <f>IF(COUNTIF(任务明细!$B$4:$B$48,$A6)=0,"未开始",IF(COUNTIFS(任务明细!$B$4:$B$48,$A6,任务明细!$H$4:$H$48,"已完成")=COUNTIF(任务明细!$B$4:$B$48,$A6),"已完成",IF(COUNTIFS(任务明细!$B$4:$B$48,$A6,任务明细!$H$4:$H$48,"未开始")=COUNTIF(任务明细!$B$4:$B$48,$A6),"未开始","进行中")))</f>
        <v/>
      </c>
      <c r="M6" s="11">
        <f>REPT("█",MAX(1,ROUND($D6/MAX($D$4:$D$8)*18,0)))</f>
        <v/>
      </c>
    </row>
    <row r="7" ht="42" customHeight="1">
      <c r="A7" s="4" t="inlineStr">
        <is>
          <t>MS-4</t>
        </is>
      </c>
      <c r="B7" s="5" t="inlineStr">
        <is>
          <t>安全闭环</t>
        </is>
      </c>
      <c r="C7" s="6" t="inlineStr">
        <is>
          <t>拖拽（P0）+ 系统对话框 + 执行/取消/回滚 + 三个弹窗 + 历史页 + 异常态全覆盖</t>
        </is>
      </c>
      <c r="D7" s="7">
        <f>SUMIF(任务明细!$B$4:$B$48,$A7,任务明细!$E$4:$E$48)</f>
        <v/>
      </c>
      <c r="E7" s="7">
        <f>SUM($D$4:D7)</f>
        <v/>
      </c>
      <c r="F7" s="8">
        <f>IF($E$9=0,"",D7/$E$9)</f>
        <v/>
      </c>
      <c r="G7" s="9">
        <f>ROUND(E7*假设与口径!$B$7,0)</f>
        <v/>
      </c>
      <c r="H7" s="10">
        <f>I6+1</f>
        <v/>
      </c>
      <c r="I7" s="10">
        <f>假设与口径!$B$4+$G7-1</f>
        <v/>
      </c>
      <c r="J7" s="5" t="inlineStr">
        <is>
          <t>MS-2</t>
        </is>
      </c>
      <c r="K7" s="6" t="inlineStr">
        <is>
          <t>安全完整版；TC-07 冲突不覆盖可验证</t>
        </is>
      </c>
      <c r="L7" s="11">
        <f>IF(COUNTIF(任务明细!$B$4:$B$48,$A7)=0,"未开始",IF(COUNTIFS(任务明细!$B$4:$B$48,$A7,任务明细!$H$4:$H$48,"已完成")=COUNTIF(任务明细!$B$4:$B$48,$A7),"已完成",IF(COUNTIFS(任务明细!$B$4:$B$48,$A7,任务明细!$H$4:$H$48,"未开始")=COUNTIF(任务明细!$B$4:$B$48,$A7),"未开始","进行中")))</f>
        <v/>
      </c>
      <c r="M7" s="11">
        <f>REPT("█",MAX(1,ROUND($D7/MAX($D$4:$D$8)*18,0)))</f>
        <v/>
      </c>
    </row>
    <row r="8" ht="42" customHeight="1">
      <c r="A8" s="4" t="inlineStr">
        <is>
          <t>MS-5</t>
        </is>
      </c>
      <c r="B8" s="5" t="inlineStr">
        <is>
          <t>打包发布</t>
        </is>
      </c>
      <c r="C8" s="6" t="inlineStr">
        <is>
          <t>electron-builder + NSIS + 体积优化 + 全量回归 + 真机验证 + 开源整理</t>
        </is>
      </c>
      <c r="D8" s="7">
        <f>SUMIF(任务明细!$B$4:$B$48,$A8,任务明细!$E$4:$E$48)</f>
        <v/>
      </c>
      <c r="E8" s="7">
        <f>SUM($D$4:D8)</f>
        <v/>
      </c>
      <c r="F8" s="8">
        <f>IF($E$9=0,"",D8/$E$9)</f>
        <v/>
      </c>
      <c r="G8" s="9">
        <f>ROUND(E8*假设与口径!$B$7,0)</f>
        <v/>
      </c>
      <c r="H8" s="10">
        <f>I7+1</f>
        <v/>
      </c>
      <c r="I8" s="10">
        <f>假设与口径!$B$4+$G8-1</f>
        <v/>
      </c>
      <c r="J8" s="5" t="inlineStr">
        <is>
          <t>MS-3 / MS-4</t>
        </is>
      </c>
      <c r="K8" s="6" t="inlineStr">
        <is>
          <t>可安装的 exe（安装包实测体积已记录）</t>
        </is>
      </c>
      <c r="L8" s="11">
        <f>IF(COUNTIF(任务明细!$B$4:$B$48,$A8)=0,"未开始",IF(COUNTIFS(任务明细!$B$4:$B$48,$A8,任务明细!$H$4:$H$48,"已完成")=COUNTIF(任务明细!$B$4:$B$48,$A8),"已完成",IF(COUNTIFS(任务明细!$B$4:$B$48,$A8,任务明细!$H$4:$H$48,"未开始")=COUNTIF(任务明细!$B$4:$B$48,$A8),"未开始","进行中")))</f>
        <v/>
      </c>
      <c r="M8" s="11">
        <f>REPT("█",MAX(1,ROUND($D8/MAX($D$4:$D$8)*18,0)))</f>
        <v/>
      </c>
    </row>
    <row r="9">
      <c r="A9" s="12" t="inlineStr">
        <is>
          <t>合计</t>
        </is>
      </c>
      <c r="B9" s="13" t="n"/>
      <c r="C9" s="14" t="inlineStr">
        <is>
          <t>5 个里程碑 / 45 项任务</t>
        </is>
      </c>
      <c r="D9" s="15">
        <f>SUM(D4:D8)</f>
        <v/>
      </c>
      <c r="E9" s="15">
        <f>E8</f>
        <v/>
      </c>
      <c r="F9" s="16">
        <f>IF($E$9=0,"",SUM(F4:F8))</f>
        <v/>
      </c>
      <c r="G9" s="17">
        <f>G8</f>
        <v/>
      </c>
      <c r="H9" s="13" t="n"/>
      <c r="I9" s="18">
        <f>I8</f>
        <v/>
      </c>
      <c r="J9" s="13" t="n"/>
      <c r="K9" s="13" t="n"/>
      <c r="L9" s="13" t="n"/>
      <c r="M9" s="13" t="n"/>
    </row>
    <row r="11">
      <c r="A11" s="19" t="inlineStr">
        <is>
          <t>总体进度（随「任务明细」状态自动计算）</t>
        </is>
      </c>
    </row>
    <row r="12">
      <c r="A12" s="5" t="inlineStr">
        <is>
          <t>总人日</t>
        </is>
      </c>
      <c r="B12" s="20">
        <f>SUM(任务明细!$E$4:$E$48)</f>
        <v/>
      </c>
    </row>
    <row r="13">
      <c r="A13" s="5" t="inlineStr">
        <is>
          <t>已完成人日</t>
        </is>
      </c>
      <c r="B13" s="20">
        <f>SUMIF(任务明细!$H$4:$H$48,"已完成",任务明细!$E$4:$E$48)</f>
        <v/>
      </c>
    </row>
    <row r="14">
      <c r="A14" s="5" t="inlineStr">
        <is>
          <t>完成率</t>
        </is>
      </c>
      <c r="B14" s="21">
        <f>IF($B$12=0,"",$B$13/$B$12)</f>
        <v/>
      </c>
    </row>
    <row r="15">
      <c r="A15" s="5" t="inlineStr">
        <is>
          <t>预计完成日（无缓冲）</t>
        </is>
      </c>
      <c r="B15" s="22">
        <f>假设与口径!$B$4+ROUND($B$12*假设与口径!$B$7,0)-1</f>
        <v/>
      </c>
    </row>
    <row r="16">
      <c r="A16" s="5" t="inlineStr">
        <is>
          <t>预计完成日（含 20% 缓冲）</t>
        </is>
      </c>
      <c r="B16" s="22">
        <f>假设与口径!$B$4+ROUND($B$12*假设与口径!$B$7*假设与口径!$B$8,0)-1</f>
        <v/>
      </c>
    </row>
  </sheetData>
  <mergeCells count="3">
    <mergeCell ref="A2:M2"/>
    <mergeCell ref="A11:C11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9" customWidth="1" min="2" max="2"/>
    <col width="50" customWidth="1" min="3" max="3"/>
    <col width="15" customWidth="1" min="4" max="4"/>
    <col width="7" customWidth="1" min="5" max="5"/>
    <col width="15" customWidth="1" min="6" max="6"/>
    <col width="34" customWidth="1" min="7" max="7"/>
    <col width="10" customWidth="1" min="8" max="8"/>
    <col width="10" customWidth="1" min="9" max="9"/>
    <col width="12" customWidth="1" min="10" max="10"/>
    <col width="32" customWidth="1" min="11" max="11"/>
  </cols>
  <sheetData>
    <row r="1" ht="26" customHeight="1">
      <c r="A1" s="1" t="inlineStr">
        <is>
          <t>耄耋改名 · 实施任务明细（45 项任务）</t>
        </is>
      </c>
    </row>
    <row r="2" ht="18" customHeight="1">
      <c r="A2" s="2" t="inlineStr">
        <is>
          <t>「状态」请下拉选择；「累计人日」「计划完成日」为公式列，不要手改。计划完成日 = 起始日期 + 累计人日 × 比率 − 1（参数见「假设与口径」）</t>
        </is>
      </c>
    </row>
    <row r="3" ht="30" customHeight="1">
      <c r="A3" s="3" t="inlineStr">
        <is>
          <t>任务编号</t>
        </is>
      </c>
      <c r="B3" s="3" t="inlineStr">
        <is>
          <t>里程碑</t>
        </is>
      </c>
      <c r="C3" s="3" t="inlineStr">
        <is>
          <t>任务名称</t>
        </is>
      </c>
      <c r="D3" s="3" t="inlineStr">
        <is>
          <t>所属模块</t>
        </is>
      </c>
      <c r="E3" s="3" t="inlineStr">
        <is>
          <t>人日</t>
        </is>
      </c>
      <c r="F3" s="3" t="inlineStr">
        <is>
          <t>依赖</t>
        </is>
      </c>
      <c r="G3" s="3" t="inlineStr">
        <is>
          <t>验收标志</t>
        </is>
      </c>
      <c r="H3" s="3" t="inlineStr">
        <is>
          <t>状态</t>
        </is>
      </c>
      <c r="I3" s="3" t="inlineStr">
        <is>
          <t>累计人日</t>
        </is>
      </c>
      <c r="J3" s="3" t="inlineStr">
        <is>
          <t>计划完成日</t>
        </is>
      </c>
      <c r="K3" s="3" t="inlineStr">
        <is>
          <t>备注</t>
        </is>
      </c>
    </row>
    <row r="4" ht="34" customHeight="1">
      <c r="A4" s="23" t="inlineStr">
        <is>
          <t>T-1.1</t>
        </is>
      </c>
      <c r="B4" s="24" t="inlineStr">
        <is>
          <t>MS-1</t>
        </is>
      </c>
      <c r="C4" s="6" t="inlineStr">
        <is>
          <t>工程脚手架（electron-vite + TS + Vue3 + Pinia + Vitest + ESLint 依赖方向规则）</t>
        </is>
      </c>
      <c r="D4" s="24" t="inlineStr">
        <is>
          <t>基础设施</t>
        </is>
      </c>
      <c r="E4" s="25" t="n">
        <v>1</v>
      </c>
      <c r="F4" s="24" t="inlineStr">
        <is>
          <t>—</t>
        </is>
      </c>
      <c r="G4" s="6" t="inlineStr">
        <is>
          <t>npm run dev 可启动；反向 import 被 lint 拦住</t>
        </is>
      </c>
      <c r="H4" s="26" t="inlineStr">
        <is>
          <t>已完成</t>
        </is>
      </c>
      <c r="I4" s="27">
        <f>SUM($E$4:E4)</f>
        <v/>
      </c>
      <c r="J4" s="28">
        <f>假设与口径!$B$4+ROUND(I4*假设与口径!$B$7,0)-1</f>
        <v/>
      </c>
      <c r="K4" s="6" t="inlineStr">
        <is>
          <t>tsconfig 开 strict</t>
        </is>
      </c>
    </row>
    <row r="5" ht="34" customHeight="1">
      <c r="A5" s="23" t="inlineStr">
        <is>
          <t>T-1.2</t>
        </is>
      </c>
      <c r="B5" s="24" t="inlineStr">
        <is>
          <t>MS-1</t>
        </is>
      </c>
      <c r="C5" s="6" t="inlineStr">
        <is>
          <t>共享层类型 / 常量 / 通道名 / 错误码</t>
        </is>
      </c>
      <c r="D5" s="24" t="inlineStr">
        <is>
          <t>shared</t>
        </is>
      </c>
      <c r="E5" s="25" t="n">
        <v>0.5</v>
      </c>
      <c r="F5" s="24" t="inlineStr">
        <is>
          <t>T-1.1</t>
        </is>
      </c>
      <c r="G5" s="6" t="inlineStr">
        <is>
          <t>类型编译通过；通道名与接口文档 §3 一致</t>
        </is>
      </c>
      <c r="H5" s="26" t="inlineStr">
        <is>
          <t>已完成</t>
        </is>
      </c>
      <c r="I5" s="27">
        <f>SUM($E$4:E5)</f>
        <v/>
      </c>
      <c r="J5" s="28">
        <f>假设与口径!$B$4+ROUND(I5*假设与口径!$B$7,0)-1</f>
        <v/>
      </c>
      <c r="K5" s="6" t="inlineStr"/>
    </row>
    <row r="6" ht="34" customHeight="1">
      <c r="A6" s="23" t="inlineStr">
        <is>
          <t>T-1.3</t>
        </is>
      </c>
      <c r="B6" s="24" t="inlineStr">
        <is>
          <t>MS-1</t>
        </is>
      </c>
      <c r="C6" s="6" t="inlineStr">
        <is>
          <t>路径工具 + 名称拆分与扩展名保护</t>
        </is>
      </c>
      <c r="D6" s="24" t="inlineStr">
        <is>
          <t>shared</t>
        </is>
      </c>
      <c r="E6" s="25" t="n">
        <v>1</v>
      </c>
      <c r="F6" s="24" t="inlineStr">
        <is>
          <t>T-1.2</t>
        </is>
      </c>
      <c r="G6" s="6" t="inlineStr">
        <is>
          <t>单测 U-05 / U-06；EX-07 全部细则逐条覆盖</t>
        </is>
      </c>
      <c r="H6" s="26" t="inlineStr">
        <is>
          <t>已完成</t>
        </is>
      </c>
      <c r="I6" s="27">
        <f>SUM($E$4:E6)</f>
        <v/>
      </c>
      <c r="J6" s="28">
        <f>假设与口径!$B$4+ROUND(I6*假设与口径!$B$7,0)-1</f>
        <v/>
      </c>
      <c r="K6" s="6" t="inlineStr">
        <is>
          <t>含 .gitignore / 结尾点 / 全角点边界</t>
        </is>
      </c>
    </row>
    <row r="7" ht="34" customHeight="1">
      <c r="A7" s="23" t="inlineStr">
        <is>
          <t>T-1.4</t>
        </is>
      </c>
      <c r="B7" s="24" t="inlineStr">
        <is>
          <t>MS-1</t>
        </is>
      </c>
      <c r="C7" s="6" t="inlineStr">
        <is>
          <t>规则引擎三模式 + 变量去重 + 组合公式 A/B/C/D</t>
        </is>
      </c>
      <c r="D7" s="24" t="inlineStr">
        <is>
          <t>shared</t>
        </is>
      </c>
      <c r="E7" s="25" t="n">
        <v>2</v>
      </c>
      <c r="F7" s="24" t="inlineStr">
        <is>
          <t>T-1.3</t>
        </is>
      </c>
      <c r="G7" s="6" t="inlineStr">
        <is>
          <t>单测 U-07 / U-08；TC-03 / TC-04 / TC-06</t>
        </is>
      </c>
      <c r="H7" s="26" t="inlineStr">
        <is>
          <t>已完成</t>
        </is>
      </c>
      <c r="I7" s="27">
        <f>SUM($E$4:E7)</f>
        <v/>
      </c>
      <c r="J7" s="28">
        <f>假设与口径!$B$4+ROUND(I7*假设与口径!$B$7,0)-1</f>
        <v/>
      </c>
      <c r="K7" s="6" t="inlineStr">
        <is>
          <t>公式以 PRD §4.2.5 表格为准</t>
        </is>
      </c>
    </row>
    <row r="8" ht="34" customHeight="1">
      <c r="A8" s="23" t="inlineStr">
        <is>
          <t>T-1.5</t>
        </is>
      </c>
      <c r="B8" s="24" t="inlineStr">
        <is>
          <t>MS-1</t>
        </is>
      </c>
      <c r="C8" s="6" t="inlineStr">
        <is>
          <t>差异高亮算法（最长公共前缀 / 后缀）</t>
        </is>
      </c>
      <c r="D8" s="24" t="inlineStr">
        <is>
          <t>shared</t>
        </is>
      </c>
      <c r="E8" s="25" t="n">
        <v>0.5</v>
      </c>
      <c r="F8" s="24" t="inlineStr">
        <is>
          <t>T-1.3</t>
        </is>
      </c>
      <c r="G8" s="6" t="inlineStr">
        <is>
          <t>单测 U-14 覆盖全部边界情形</t>
        </is>
      </c>
      <c r="H8" s="26" t="inlineStr">
        <is>
          <t>已完成</t>
        </is>
      </c>
      <c r="I8" s="27">
        <f>SUM($E$4:E8)</f>
        <v/>
      </c>
      <c r="J8" s="28">
        <f>假设与口径!$B$4+ROUND(I8*假设与口径!$B$7,0)-1</f>
        <v/>
      </c>
      <c r="K8" s="6" t="inlineStr"/>
    </row>
    <row r="9" ht="34" customHeight="1">
      <c r="A9" s="23" t="inlineStr">
        <is>
          <t>T-1.6</t>
        </is>
      </c>
      <c r="B9" s="24" t="inlineStr">
        <is>
          <t>MS-1</t>
        </is>
      </c>
      <c r="C9" s="6" t="inlineStr">
        <is>
          <t>校验器（非法字符 / 保留名 / 结尾点 / 超长 / 空名）</t>
        </is>
      </c>
      <c r="D9" s="24" t="inlineStr">
        <is>
          <t>shared</t>
        </is>
      </c>
      <c r="E9" s="25" t="n">
        <v>0.5</v>
      </c>
      <c r="F9" s="24" t="inlineStr">
        <is>
          <t>T-1.3</t>
        </is>
      </c>
      <c r="G9" s="6" t="inlineStr">
        <is>
          <t>单测 U-09 / U-10；TC-13 / TC-14</t>
        </is>
      </c>
      <c r="H9" s="26" t="inlineStr">
        <is>
          <t>已完成</t>
        </is>
      </c>
      <c r="I9" s="27">
        <f>SUM($E$4:E9)</f>
        <v/>
      </c>
      <c r="J9" s="28">
        <f>假设与口径!$B$4+ROUND(I9*假设与口径!$B$7,0)-1</f>
        <v/>
      </c>
      <c r="K9" s="6" t="inlineStr">
        <is>
          <t>保留名检查为本方案新增</t>
        </is>
      </c>
    </row>
    <row r="10" ht="34" customHeight="1">
      <c r="A10" s="23" t="inlineStr">
        <is>
          <t>T-1.7</t>
        </is>
      </c>
      <c r="B10" s="24" t="inlineStr">
        <is>
          <t>MS-1</t>
        </is>
      </c>
      <c r="C10" s="6" t="inlineStr">
        <is>
          <t>冲突检测（批次内 + 磁盘 + case-only + 快照剔除源名称）</t>
        </is>
      </c>
      <c r="D10" s="24" t="inlineStr">
        <is>
          <t>shared</t>
        </is>
      </c>
      <c r="E10" s="25" t="n">
        <v>1.5</v>
      </c>
      <c r="F10" s="24" t="inlineStr">
        <is>
          <t>T-1.4</t>
        </is>
      </c>
      <c r="G10" s="6" t="inlineStr">
        <is>
          <t>单测 U-02 / U-04 / U-11 / U-15；TC-07</t>
        </is>
      </c>
      <c r="H10" s="26" t="inlineStr">
        <is>
          <t>已完成</t>
        </is>
      </c>
      <c r="I10" s="27">
        <f>SUM($E$4:E10)</f>
        <v/>
      </c>
      <c r="J10" s="28">
        <f>假设与口径!$B$4+ROUND(I10*假设与口径!$B$7,0)-1</f>
        <v/>
      </c>
      <c r="K10" s="6" t="inlineStr">
        <is>
          <t>最高风险模块，必须写透</t>
        </is>
      </c>
    </row>
    <row r="11" ht="34" customHeight="1">
      <c r="A11" s="23" t="inlineStr">
        <is>
          <t>T-1.8</t>
        </is>
      </c>
      <c r="B11" s="24" t="inlineStr">
        <is>
          <t>MS-1</t>
        </is>
      </c>
      <c r="C11" s="6" t="inlineStr">
        <is>
          <t>两阶段改名执行器（safeRename / 回滚 / 取消）</t>
        </is>
      </c>
      <c r="D11" s="24" t="inlineStr">
        <is>
          <t>主进程</t>
        </is>
      </c>
      <c r="E11" s="25" t="n">
        <v>2.5</v>
      </c>
      <c r="F11" s="24" t="inlineStr">
        <is>
          <t>T-1.7</t>
        </is>
      </c>
      <c r="G11" s="6" t="inlineStr">
        <is>
          <t>单测 U-01 / U-03；目标已存在时文件字节不变</t>
        </is>
      </c>
      <c r="H11" s="26" t="inlineStr">
        <is>
          <t>已完成</t>
        </is>
      </c>
      <c r="I11" s="27">
        <f>SUM($E$4:E11)</f>
        <v/>
      </c>
      <c r="J11" s="28">
        <f>假设与口径!$B$4+ROUND(I11*假设与口径!$B$7,0)-1</f>
        <v/>
      </c>
      <c r="K11" s="6" t="inlineStr">
        <is>
          <t>ESLint 禁止裸 fs.rename</t>
        </is>
      </c>
    </row>
    <row r="12" ht="34" customHeight="1">
      <c r="A12" s="23" t="inlineStr">
        <is>
          <t>T-1.9</t>
        </is>
      </c>
      <c r="B12" s="24" t="inlineStr">
        <is>
          <t>MS-1</t>
        </is>
      </c>
      <c r="C12" s="6" t="inlineStr">
        <is>
          <t>存储服务（原子写 / FIFO 淘汰 / 损坏恢复 / 写入队列）</t>
        </is>
      </c>
      <c r="D12" s="24" t="inlineStr">
        <is>
          <t>主进程</t>
        </is>
      </c>
      <c r="E12" s="25" t="n">
        <v>1.5</v>
      </c>
      <c r="F12" s="24" t="inlineStr">
        <is>
          <t>T-1.2</t>
        </is>
      </c>
      <c r="G12" s="6" t="inlineStr">
        <is>
          <t>单测 U-16（21 次改写后仅留 20 条）；模拟中断不损坏原文件</t>
        </is>
      </c>
      <c r="H12" s="26" t="inlineStr">
        <is>
          <t>已完成</t>
        </is>
      </c>
      <c r="I12" s="27">
        <f>SUM($E$4:E12)</f>
        <v/>
      </c>
      <c r="J12" s="28">
        <f>假设与口径!$B$4+ROUND(I12*假设与口径!$B$7,0)-1</f>
        <v/>
      </c>
      <c r="K12" s="6" t="inlineStr"/>
    </row>
    <row r="13" ht="34" customHeight="1">
      <c r="A13" s="23" t="inlineStr">
        <is>
          <t>T-1.10</t>
        </is>
      </c>
      <c r="B13" s="24" t="inlineStr">
        <is>
          <t>MS-1</t>
        </is>
      </c>
      <c r="C13" s="6" t="inlineStr">
        <is>
          <t>撤销服务（倒序 / 部分失败跳过 / 全部撤销）</t>
        </is>
      </c>
      <c r="D13" s="24" t="inlineStr">
        <is>
          <t>主进程</t>
        </is>
      </c>
      <c r="E13" s="25" t="n">
        <v>1</v>
      </c>
      <c r="F13" s="24" t="inlineStr">
        <is>
          <t>T-1.9</t>
        </is>
      </c>
      <c r="G13" s="6" t="inlineStr">
        <is>
          <t>单测 U-12 / U-13；TC-09 / TC-11</t>
        </is>
      </c>
      <c r="H13" s="26" t="inlineStr">
        <is>
          <t>已完成</t>
        </is>
      </c>
      <c r="I13" s="27">
        <f>SUM($E$4:E13)</f>
        <v/>
      </c>
      <c r="J13" s="28">
        <f>假设与口径!$B$4+ROUND(I13*假设与口径!$B$7,0)-1</f>
        <v/>
      </c>
      <c r="K13" s="6" t="inlineStr"/>
    </row>
    <row r="14" ht="34" customHeight="1">
      <c r="A14" s="23" t="inlineStr">
        <is>
          <t>T-1.11</t>
        </is>
      </c>
      <c r="B14" s="24" t="inlineStr">
        <is>
          <t>MS-1</t>
        </is>
      </c>
      <c r="C14" s="6" t="inlineStr">
        <is>
          <t>CLI 验证脚本 + 引擎单测补齐</t>
        </is>
      </c>
      <c r="D14" s="24" t="inlineStr">
        <is>
          <t>测试</t>
        </is>
      </c>
      <c r="E14" s="25" t="n">
        <v>1</v>
      </c>
      <c r="F14" s="24" t="inlineStr">
        <is>
          <t>T-1.4 ~ T-1.10</t>
        </is>
      </c>
      <c r="G14" s="6" t="inlineStr">
        <is>
          <t>覆盖率 ≥ 90%；1000 项预览 &lt; 200ms</t>
        </is>
      </c>
      <c r="H14" s="26" t="inlineStr">
        <is>
          <t>已完成</t>
        </is>
      </c>
      <c r="I14" s="27">
        <f>SUM($E$4:E14)</f>
        <v/>
      </c>
      <c r="J14" s="28">
        <f>假设与口径!$B$4+ROUND(I14*假设与口径!$B$7,0)-1</f>
        <v/>
      </c>
      <c r="K14" s="6" t="inlineStr">
        <is>
          <t>MS-1 的核心交付物</t>
        </is>
      </c>
    </row>
    <row r="15" ht="34" customHeight="1">
      <c r="A15" s="23" t="inlineStr">
        <is>
          <t>T-2.1</t>
        </is>
      </c>
      <c r="B15" s="24" t="inlineStr">
        <is>
          <t>MS-2</t>
        </is>
      </c>
      <c r="C15" s="6" t="inlineStr">
        <is>
          <t>设计令牌落地（tokens.css / tokens.ts）</t>
        </is>
      </c>
      <c r="D15" s="24" t="inlineStr">
        <is>
          <t>渲染层</t>
        </is>
      </c>
      <c r="E15" s="25" t="n">
        <v>0.5</v>
      </c>
      <c r="F15" s="24" t="inlineStr">
        <is>
          <t>T-1.1</t>
        </is>
      </c>
      <c r="G15" s="6" t="inlineStr">
        <is>
          <t>色值只出现在 tokens.css；间距全在 4px 台阶</t>
        </is>
      </c>
      <c r="H15" s="26" t="inlineStr">
        <is>
          <t>已完成</t>
        </is>
      </c>
      <c r="I15" s="27">
        <f>SUM($E$4:E15)</f>
        <v/>
      </c>
      <c r="J15" s="28">
        <f>假设与口径!$B$4+ROUND(I15*假设与口径!$B$7,0)-1</f>
        <v/>
      </c>
      <c r="K15" s="6" t="inlineStr"/>
    </row>
    <row r="16" ht="34" customHeight="1">
      <c r="A16" s="23" t="inlineStr">
        <is>
          <t>T-2.2</t>
        </is>
      </c>
      <c r="B16" s="24" t="inlineStr">
        <is>
          <t>MS-2</t>
        </is>
      </c>
      <c r="C16" s="6" t="inlineStr">
        <is>
          <t>窗口外壳与自绘标题栏（三按钮 + 拖拽区 + 尺寸记忆）</t>
        </is>
      </c>
      <c r="D16" s="24" t="inlineStr">
        <is>
          <t>渲染层 / 主进程</t>
        </is>
      </c>
      <c r="E16" s="25" t="n">
        <v>2</v>
      </c>
      <c r="F16" s="24" t="inlineStr">
        <is>
          <t>T-2.1</t>
        </is>
      </c>
      <c r="G16" s="6" t="inlineStr">
        <is>
          <t>TC-17；恢复位置时窗口必落在可见屏幕内</t>
        </is>
      </c>
      <c r="H16" s="26" t="inlineStr">
        <is>
          <t>已完成</t>
        </is>
      </c>
      <c r="I16" s="27">
        <f>SUM($E$4:E16)</f>
        <v/>
      </c>
      <c r="J16" s="28">
        <f>假设与口径!$B$4+ROUND(I16*假设与口径!$B$7,0)-1</f>
        <v/>
      </c>
      <c r="K16" s="6" t="inlineStr">
        <is>
          <t>userData 目录名改为英文</t>
        </is>
      </c>
    </row>
    <row r="17" ht="34" customHeight="1">
      <c r="A17" s="23" t="inlineStr">
        <is>
          <t>T-2.3</t>
        </is>
      </c>
      <c r="B17" s="24" t="inlineStr">
        <is>
          <t>MS-2</t>
        </is>
      </c>
      <c r="C17" s="6" t="inlineStr">
        <is>
          <t>左栏形象区占位 + 操作区三按钮</t>
        </is>
      </c>
      <c r="D17" s="24" t="inlineStr">
        <is>
          <t>渲染层</t>
        </is>
      </c>
      <c r="E17" s="25" t="n">
        <v>1</v>
      </c>
      <c r="F17" s="24" t="inlineStr">
        <is>
          <t>T-2.1</t>
        </is>
      </c>
      <c r="G17" s="6" t="inlineStr">
        <is>
          <t>三按钮样式符合设计规范 §4.1</t>
        </is>
      </c>
      <c r="H17" s="26" t="inlineStr">
        <is>
          <t>已完成</t>
        </is>
      </c>
      <c r="I17" s="27">
        <f>SUM($E$4:E17)</f>
        <v/>
      </c>
      <c r="J17" s="28">
        <f>假设与口径!$B$4+ROUND(I17*假设与口径!$B$7,0)-1</f>
        <v/>
      </c>
      <c r="K17" s="6" t="inlineStr"/>
    </row>
    <row r="18" ht="34" customHeight="1">
      <c r="A18" s="23" t="inlineStr">
        <is>
          <t>T-2.4</t>
        </is>
      </c>
      <c r="B18" s="24" t="inlineStr">
        <is>
          <t>MS-2</t>
        </is>
      </c>
      <c r="C18" s="6" t="inlineStr">
        <is>
          <t>文件列表（行渲染 / 计数 / 全选 / 行内删除 / 空态）</t>
        </is>
      </c>
      <c r="D18" s="24" t="inlineStr">
        <is>
          <t>渲染层</t>
        </is>
      </c>
      <c r="E18" s="25" t="n">
        <v>2</v>
      </c>
      <c r="F18" s="24" t="inlineStr">
        <is>
          <t>T-2.3</t>
        </is>
      </c>
      <c r="G18" s="6" t="inlineStr">
        <is>
          <t>EL-030 ~ EL-037 全部元素与状态</t>
        </is>
      </c>
      <c r="H18" s="26" t="inlineStr">
        <is>
          <t>已完成</t>
        </is>
      </c>
      <c r="I18" s="27">
        <f>SUM($E$4:E18)</f>
        <v/>
      </c>
      <c r="J18" s="28">
        <f>假设与口径!$B$4+ROUND(I18*假设与口径!$B$7,0)-1</f>
        <v/>
      </c>
      <c r="K18" s="6" t="inlineStr"/>
    </row>
    <row r="19" ht="34" customHeight="1">
      <c r="A19" s="23" t="inlineStr">
        <is>
          <t>T-2.5</t>
        </is>
      </c>
      <c r="B19" s="24" t="inlineStr">
        <is>
          <t>MS-2</t>
        </is>
      </c>
      <c r="C19" s="6" t="inlineStr">
        <is>
          <t>差异高亮渲染（DiffText 组件）</t>
        </is>
      </c>
      <c r="D19" s="24" t="inlineStr">
        <is>
          <t>渲染层</t>
        </is>
      </c>
      <c r="E19" s="25" t="n">
        <v>1</v>
      </c>
      <c r="F19" s="24" t="inlineStr">
        <is>
          <t>T-1.5 / T-2.4</t>
        </is>
      </c>
      <c r="G19" s="6" t="inlineStr">
        <is>
          <t>TC-03；变化片段橘色高亮 + 原片段删除线</t>
        </is>
      </c>
      <c r="H19" s="26" t="inlineStr">
        <is>
          <t>已完成</t>
        </is>
      </c>
      <c r="I19" s="27">
        <f>SUM($E$4:E19)</f>
        <v/>
      </c>
      <c r="J19" s="28">
        <f>假设与口径!$B$4+ROUND(I19*假设与口径!$B$7,0)-1</f>
        <v/>
      </c>
      <c r="K19" s="6" t="inlineStr"/>
    </row>
    <row r="20" ht="34" customHeight="1">
      <c r="A20" s="23" t="inlineStr">
        <is>
          <t>T-2.6</t>
        </is>
      </c>
      <c r="B20" s="24" t="inlineStr">
        <is>
          <t>MS-2</t>
        </is>
      </c>
      <c r="C20" s="6" t="inlineStr">
        <is>
          <t>规则区（页签 + 三模式表单 + 联动置灰）</t>
        </is>
      </c>
      <c r="D20" s="24" t="inlineStr">
        <is>
          <t>渲染层</t>
        </is>
      </c>
      <c r="E20" s="25" t="n">
        <v>2.5</v>
      </c>
      <c r="F20" s="24" t="inlineStr">
        <is>
          <t>T-2.3</t>
        </is>
      </c>
      <c r="G20" s="6" t="inlineStr">
        <is>
          <t>EL-040 ~ EL-055；规则化模式下隐藏 EL-044</t>
        </is>
      </c>
      <c r="H20" s="26" t="inlineStr">
        <is>
          <t>已完成</t>
        </is>
      </c>
      <c r="I20" s="27">
        <f>SUM($E$4:E20)</f>
        <v/>
      </c>
      <c r="J20" s="28">
        <f>假设与口径!$B$4+ROUND(I20*假设与口径!$B$7,0)-1</f>
        <v/>
      </c>
      <c r="K20" s="6" t="inlineStr"/>
    </row>
    <row r="21" ht="34" customHeight="1">
      <c r="A21" s="23" t="inlineStr">
        <is>
          <t>T-2.7</t>
        </is>
      </c>
      <c r="B21" s="24" t="inlineStr">
        <is>
          <t>MS-2</t>
        </is>
      </c>
      <c r="C21" s="6" t="inlineStr">
        <is>
          <t>预览 Worker 接入 + 200ms 防抖 + 过期结果丢弃</t>
        </is>
      </c>
      <c r="D21" s="24" t="inlineStr">
        <is>
          <t>渲染层</t>
        </is>
      </c>
      <c r="E21" s="25" t="n">
        <v>1.5</v>
      </c>
      <c r="F21" s="24" t="inlineStr">
        <is>
          <t>T-1.4 / T-2.6</t>
        </is>
      </c>
      <c r="G21" s="6" t="inlineStr">
        <is>
          <t>1000 项预览 ≤ 200ms；快速连打 20 字不闪动</t>
        </is>
      </c>
      <c r="H21" s="26" t="inlineStr">
        <is>
          <t>已完成</t>
        </is>
      </c>
      <c r="I21" s="27">
        <f>SUM($E$4:E21)</f>
        <v/>
      </c>
      <c r="J21" s="28">
        <f>假设与口径!$B$4+ROUND(I21*假设与口径!$B$7,0)-1</f>
        <v/>
      </c>
      <c r="K21" s="6" t="inlineStr"/>
    </row>
    <row r="22" ht="34" customHeight="1">
      <c r="A22" s="23" t="inlineStr">
        <is>
          <t>T-2.8</t>
        </is>
      </c>
      <c r="B22" s="24" t="inlineStr">
        <is>
          <t>MS-2</t>
        </is>
      </c>
      <c r="C22" s="6" t="inlineStr">
        <is>
          <t>虚拟滚动（&gt; 500 行，固定行高 36px）</t>
        </is>
      </c>
      <c r="D22" s="24" t="inlineStr">
        <is>
          <t>渲染层</t>
        </is>
      </c>
      <c r="E22" s="25" t="n">
        <v>1.5</v>
      </c>
      <c r="F22" s="24" t="inlineStr">
        <is>
          <t>T-2.4</t>
        </is>
      </c>
      <c r="G22" s="6" t="inlineStr">
        <is>
          <t>10000 项滚动不掉帧；全选基于 id 而非 DOM 索引</t>
        </is>
      </c>
      <c r="H22" s="26" t="inlineStr">
        <is>
          <t>已完成</t>
        </is>
      </c>
      <c r="I22" s="27">
        <f>SUM($E$4:E22)</f>
        <v/>
      </c>
      <c r="J22" s="28">
        <f>假设与口径!$B$4+ROUND(I22*假设与口径!$B$7,0)-1</f>
        <v/>
      </c>
      <c r="K22" s="6" t="inlineStr"/>
    </row>
    <row r="23" ht="34" customHeight="1">
      <c r="A23" s="23" t="inlineStr">
        <is>
          <t>T-2.9</t>
        </is>
      </c>
      <c r="B23" s="24" t="inlineStr">
        <is>
          <t>MS-2</t>
        </is>
      </c>
      <c r="C23" s="6" t="inlineStr">
        <is>
          <t>状态栏（状态点 / 文案规则 / 进度条）</t>
        </is>
      </c>
      <c r="D23" s="24" t="inlineStr">
        <is>
          <t>渲染层</t>
        </is>
      </c>
      <c r="E23" s="25" t="n">
        <v>1</v>
      </c>
      <c r="F23" s="24" t="inlineStr">
        <is>
          <t>T-2.4</t>
        </is>
      </c>
      <c r="G23" s="6" t="inlineStr">
        <is>
          <t>交互说明 §11.2 全部文案分支命中</t>
        </is>
      </c>
      <c r="H23" s="26" t="inlineStr">
        <is>
          <t>已完成</t>
        </is>
      </c>
      <c r="I23" s="27">
        <f>SUM($E$4:E23)</f>
        <v/>
      </c>
      <c r="J23" s="28">
        <f>假设与口径!$B$4+ROUND(I23*假设与口径!$B$7,0)-1</f>
        <v/>
      </c>
      <c r="K23" s="6" t="inlineStr"/>
    </row>
    <row r="24" ht="34" customHeight="1">
      <c r="A24" s="23" t="inlineStr">
        <is>
          <t>T-2.10</t>
        </is>
      </c>
      <c r="B24" s="24" t="inlineStr">
        <is>
          <t>MS-2</t>
        </is>
      </c>
      <c r="C24" s="6" t="inlineStr">
        <is>
          <t>按钮状态矩阵（开始改名置灰逻辑）</t>
        </is>
      </c>
      <c r="D24" s="24" t="inlineStr">
        <is>
          <t>渲染层</t>
        </is>
      </c>
      <c r="E24" s="25" t="n">
        <v>0.5</v>
      </c>
      <c r="F24" s="24" t="inlineStr">
        <is>
          <t>T-2.7</t>
        </is>
      </c>
      <c r="G24" s="6" t="inlineStr">
        <is>
          <t>EX-11 / EX-12 置灰正确</t>
        </is>
      </c>
      <c r="H24" s="26" t="inlineStr">
        <is>
          <t>已完成</t>
        </is>
      </c>
      <c r="I24" s="27">
        <f>SUM($E$4:E24)</f>
        <v/>
      </c>
      <c r="J24" s="28">
        <f>假设与口径!$B$4+ROUND(I24*假设与口径!$B$7,0)-1</f>
        <v/>
      </c>
      <c r="K24" s="6" t="inlineStr"/>
    </row>
    <row r="25" ht="34" customHeight="1">
      <c r="A25" s="23" t="inlineStr">
        <is>
          <t>T-2.11</t>
        </is>
      </c>
      <c r="B25" s="24" t="inlineStr">
        <is>
          <t>MS-2</t>
        </is>
      </c>
      <c r="C25" s="6" t="inlineStr">
        <is>
          <t>键盘与无障碍（快捷键 + 焦点顺序 + 减少动画开关）</t>
        </is>
      </c>
      <c r="D25" s="24" t="inlineStr">
        <is>
          <t>渲染层</t>
        </is>
      </c>
      <c r="E25" s="25" t="n">
        <v>1</v>
      </c>
      <c r="F25" s="24" t="inlineStr">
        <is>
          <t>T-2.2</t>
        </is>
      </c>
      <c r="G25" s="6" t="inlineStr">
        <is>
          <t>交互说明 §9 全部按键生效</t>
        </is>
      </c>
      <c r="H25" s="26" t="inlineStr">
        <is>
          <t>已完成</t>
        </is>
      </c>
      <c r="I25" s="27">
        <f>SUM($E$4:E25)</f>
        <v/>
      </c>
      <c r="J25" s="28">
        <f>假设与口径!$B$4+ROUND(I25*假设与口径!$B$7,0)-1</f>
        <v/>
      </c>
      <c r="K25" s="6" t="inlineStr"/>
    </row>
    <row r="26" ht="34" customHeight="1">
      <c r="A26" s="23" t="inlineStr">
        <is>
          <t>T-3.1</t>
        </is>
      </c>
      <c r="B26" s="24" t="inlineStr">
        <is>
          <t>MS-3</t>
        </is>
      </c>
      <c r="C26" s="6" t="inlineStr">
        <is>
          <t>形象资源接入（6 分组 + manifest.json 一键替换机制）</t>
        </is>
      </c>
      <c r="D26" s="24" t="inlineStr">
        <is>
          <t>渲染层</t>
        </is>
      </c>
      <c r="E26" s="25" t="n">
        <v>1.5</v>
      </c>
      <c r="F26" s="24" t="inlineStr">
        <is>
          <t>T-2.3</t>
        </is>
      </c>
      <c r="G26" s="6" t="inlineStr">
        <is>
          <t>换掉 cats/ 目录即可换形象，代码零改动</t>
        </is>
      </c>
      <c r="H26" s="26" t="inlineStr">
        <is>
          <t>已完成</t>
        </is>
      </c>
      <c r="I26" s="27">
        <f>SUM($E$4:E26)</f>
        <v/>
      </c>
      <c r="J26" s="28">
        <f>假设与口径!$B$4+ROUND(I26*假设与口径!$B$7,0)-1</f>
        <v/>
      </c>
      <c r="K26" s="6" t="inlineStr">
        <is>
          <t>形象仍为占位</t>
        </is>
      </c>
    </row>
    <row r="27" ht="34" customHeight="1">
      <c r="A27" s="23" t="inlineStr">
        <is>
          <t>T-3.2</t>
        </is>
      </c>
      <c r="B27" s="24" t="inlineStr">
        <is>
          <t>MS-3</t>
        </is>
      </c>
      <c r="C27" s="6" t="inlineStr">
        <is>
          <t>状态机（优先级 / 会话约束 / 回落定时器清理）</t>
        </is>
      </c>
      <c r="D27" s="24" t="inlineStr">
        <is>
          <t>渲染层</t>
        </is>
      </c>
      <c r="E27" s="25" t="n">
        <v>1.5</v>
      </c>
      <c r="F27" s="24" t="inlineStr">
        <is>
          <t>T-3.1</t>
        </is>
      </c>
      <c r="G27" s="6" t="inlineStr">
        <is>
          <t>ST-03 不被 ST-02 抢占；无幽灵定时器</t>
        </is>
      </c>
      <c r="H27" s="26" t="inlineStr">
        <is>
          <t>已完成</t>
        </is>
      </c>
      <c r="I27" s="27">
        <f>SUM($E$4:E27)</f>
        <v/>
      </c>
      <c r="J27" s="28">
        <f>假设与口径!$B$4+ROUND(I27*假设与口径!$B$7,0)-1</f>
        <v/>
      </c>
      <c r="K27" s="6" t="inlineStr"/>
    </row>
    <row r="28" ht="34" customHeight="1">
      <c r="A28" s="23" t="inlineStr">
        <is>
          <t>T-3.3</t>
        </is>
      </c>
      <c r="B28" s="24" t="inlineStr">
        <is>
          <t>MS-3</t>
        </is>
      </c>
      <c r="C28" s="6" t="inlineStr">
        <is>
          <t>ST-01 / ST-02 / ST-04 / ST-05 动画</t>
        </is>
      </c>
      <c r="D28" s="24" t="inlineStr">
        <is>
          <t>渲染层</t>
        </is>
      </c>
      <c r="E28" s="25" t="n">
        <v>2</v>
      </c>
      <c r="F28" s="24" t="inlineStr">
        <is>
          <t>T-3.2</t>
        </is>
      </c>
      <c r="G28" s="6" t="inlineStr">
        <is>
          <t>四状态文案与动效符合设计规范 §6.2</t>
        </is>
      </c>
      <c r="H28" s="26" t="inlineStr">
        <is>
          <t>已完成</t>
        </is>
      </c>
      <c r="I28" s="27">
        <f>SUM($E$4:E28)</f>
        <v/>
      </c>
      <c r="J28" s="28">
        <f>假设与口径!$B$4+ROUND(I28*假设与口径!$B$7,0)-1</f>
        <v/>
      </c>
      <c r="K28" s="6" t="inlineStr"/>
    </row>
    <row r="29" ht="34" customHeight="1">
      <c r="A29" s="23" t="inlineStr">
        <is>
          <t>T-3.4</t>
        </is>
      </c>
      <c r="B29" s="24" t="inlineStr">
        <is>
          <t>MS-3</t>
        </is>
      </c>
      <c r="C29" s="6" t="inlineStr">
        <is>
          <t>ST-03 咬名字动画（卡片队列 + 8 关键点时序）</t>
        </is>
      </c>
      <c r="D29" s="24" t="inlineStr">
        <is>
          <t>渲染层</t>
        </is>
      </c>
      <c r="E29" s="25" t="n">
        <v>3</v>
      </c>
      <c r="F29" s="24" t="inlineStr">
        <is>
          <t>T-3.2</t>
        </is>
      </c>
      <c r="G29" s="6" t="inlineStr">
        <is>
          <t>交互说明 §7.3 时序逐点对齐；离开即停无残影</t>
        </is>
      </c>
      <c r="H29" s="26" t="inlineStr">
        <is>
          <t>已完成</t>
        </is>
      </c>
      <c r="I29" s="27">
        <f>SUM($E$4:E29)</f>
        <v/>
      </c>
      <c r="J29" s="28">
        <f>假设与口径!$B$4+ROUND(I29*假设与口径!$B$7,0)-1</f>
        <v/>
      </c>
      <c r="K29" s="6" t="inlineStr">
        <is>
          <t>工作量最大的一项</t>
        </is>
      </c>
    </row>
    <row r="30" ht="34" customHeight="1">
      <c r="A30" s="23" t="inlineStr">
        <is>
          <t>T-3.5</t>
        </is>
      </c>
      <c r="B30" s="24" t="inlineStr">
        <is>
          <t>MS-3</t>
        </is>
      </c>
      <c r="C30" s="6" t="inlineStr">
        <is>
          <t>音效接入 + 开关</t>
        </is>
      </c>
      <c r="D30" s="24" t="inlineStr">
        <is>
          <t>渲染层</t>
        </is>
      </c>
      <c r="E30" s="25" t="n">
        <v>0.5</v>
      </c>
      <c r="F30" s="24" t="inlineStr">
        <is>
          <t>T-3.3</t>
        </is>
      </c>
      <c r="G30" s="6" t="inlineStr">
        <is>
          <t>成功「叮」/ 失败「噗」；开关即时生效</t>
        </is>
      </c>
      <c r="H30" s="26" t="inlineStr">
        <is>
          <t>已完成</t>
        </is>
      </c>
      <c r="I30" s="27">
        <f>SUM($E$4:E30)</f>
        <v/>
      </c>
      <c r="J30" s="28">
        <f>假设与口径!$B$4+ROUND(I30*假设与口径!$B$7,0)-1</f>
        <v/>
      </c>
      <c r="K30" s="6" t="inlineStr"/>
    </row>
    <row r="31" ht="34" customHeight="1">
      <c r="A31" s="23" t="inlineStr">
        <is>
          <t>T-3.6</t>
        </is>
      </c>
      <c r="B31" s="24" t="inlineStr">
        <is>
          <t>MS-3</t>
        </is>
      </c>
      <c r="C31" s="6" t="inlineStr">
        <is>
          <t>「动作不得有歧义」自查 + 非项目成员观看</t>
        </is>
      </c>
      <c r="D31" s="24" t="inlineStr">
        <is>
          <t>验收</t>
        </is>
      </c>
      <c r="E31" s="25" t="n">
        <v>0.5</v>
      </c>
      <c r="F31" s="24" t="inlineStr">
        <is>
          <t>T-3.4</t>
        </is>
      </c>
      <c r="G31" s="6" t="inlineStr">
        <is>
          <t>至少 1 位非项目成员确认无歧义</t>
        </is>
      </c>
      <c r="H31" s="26" t="inlineStr">
        <is>
          <t>已完成</t>
        </is>
      </c>
      <c r="I31" s="27">
        <f>SUM($E$4:E31)</f>
        <v/>
      </c>
      <c r="J31" s="28">
        <f>假设与口径!$B$4+ROUND(I31*假设与口径!$B$7,0)-1</f>
        <v/>
      </c>
      <c r="K31" s="6" t="inlineStr">
        <is>
          <t>PRD §4.6.3 硬约束</t>
        </is>
      </c>
    </row>
    <row r="32" ht="34" customHeight="1">
      <c r="A32" s="23" t="inlineStr">
        <is>
          <t>T-4.1</t>
        </is>
      </c>
      <c r="B32" s="24" t="inlineStr">
        <is>
          <t>MS-4</t>
        </is>
      </c>
      <c r="C32" s="6" t="inlineStr">
        <is>
          <t>系统对话框通道（pickFiles / pickDirectory）</t>
        </is>
      </c>
      <c r="D32" s="24" t="inlineStr">
        <is>
          <t>主进程</t>
        </is>
      </c>
      <c r="E32" s="25" t="n">
        <v>0.5</v>
      </c>
      <c r="F32" s="24" t="inlineStr">
        <is>
          <t>T-2.2</t>
        </is>
      </c>
      <c r="G32" s="6" t="inlineStr">
        <is>
          <t>TC-02：文件夹只加本身，不递归内部文件</t>
        </is>
      </c>
      <c r="H32" s="26" t="inlineStr">
        <is>
          <t>已完成</t>
        </is>
      </c>
      <c r="I32" s="27">
        <f>SUM($E$4:E32)</f>
        <v/>
      </c>
      <c r="J32" s="28">
        <f>假设与口径!$B$4+ROUND(I32*假设与口径!$B$7,0)-1</f>
        <v/>
      </c>
      <c r="K32" s="6" t="inlineStr"/>
    </row>
    <row r="33" ht="34" customHeight="1">
      <c r="A33" s="23" t="inlineStr">
        <is>
          <t>T-4.2</t>
        </is>
      </c>
      <c r="B33" s="24" t="inlineStr">
        <is>
          <t>MS-4</t>
        </is>
      </c>
      <c r="C33" s="6" t="inlineStr">
        <is>
          <t>路径解析入列（resolvePaths + 目录快照 + stats 五项）</t>
        </is>
      </c>
      <c r="D33" s="24" t="inlineStr">
        <is>
          <t>主进程</t>
        </is>
      </c>
      <c r="E33" s="25" t="n">
        <v>1.5</v>
      </c>
      <c r="F33" s="24" t="inlineStr">
        <is>
          <t>T-4.1</t>
        </is>
      </c>
      <c r="G33" s="6" t="inlineStr">
        <is>
          <t>EX-08 / EX-09 / EX-13 计数正确</t>
        </is>
      </c>
      <c r="H33" s="26" t="inlineStr">
        <is>
          <t>已完成</t>
        </is>
      </c>
      <c r="I33" s="27">
        <f>SUM($E$4:E33)</f>
        <v/>
      </c>
      <c r="J33" s="28">
        <f>假设与口径!$B$4+ROUND(I33*假设与口径!$B$7,0)-1</f>
        <v/>
      </c>
      <c r="K33" s="6" t="inlineStr">
        <is>
          <t>symlink 指向目录时 isDir 判定正确</t>
        </is>
      </c>
    </row>
    <row r="34" ht="34" customHeight="1">
      <c r="A34" s="23" t="inlineStr">
        <is>
          <t>T-4.3</t>
        </is>
      </c>
      <c r="B34" s="24" t="inlineStr">
        <is>
          <t>MS-4</t>
        </is>
      </c>
      <c r="C34" s="6" t="inlineStr">
        <is>
          <t>拖拽入列（计数蒙层 / 拒绝态 / 去重 / 落区高亮）</t>
        </is>
      </c>
      <c r="D34" s="24" t="inlineStr">
        <is>
          <t>渲染层</t>
        </is>
      </c>
      <c r="E34" s="25" t="n">
        <v>1.5</v>
      </c>
      <c r="F34" s="24" t="inlineStr">
        <is>
          <t>T-4.2</t>
        </is>
      </c>
      <c r="G34" s="6" t="inlineStr">
        <is>
          <t>TC-01；dragenter 计数归零才隐藏蒙层</t>
        </is>
      </c>
      <c r="H34" s="26" t="inlineStr">
        <is>
          <t>已完成</t>
        </is>
      </c>
      <c r="I34" s="27">
        <f>SUM($E$4:E34)</f>
        <v/>
      </c>
      <c r="J34" s="28">
        <f>假设与口径!$B$4+ROUND(I34*假设与口径!$B$7,0)-1</f>
        <v/>
      </c>
      <c r="K34" s="6" t="inlineStr"/>
    </row>
    <row r="35" ht="34" customHeight="1">
      <c r="A35" s="23" t="inlineStr">
        <is>
          <t>T-4.4</t>
        </is>
      </c>
      <c r="B35" s="24" t="inlineStr">
        <is>
          <t>MS-4</t>
        </is>
      </c>
      <c r="C35" s="6" t="inlineStr">
        <is>
          <t>执行流程接入（进度事件 + 取消 + 回滚 UI）</t>
        </is>
      </c>
      <c r="D35" s="24" t="inlineStr">
        <is>
          <t>渲染层 / 主进程</t>
        </is>
      </c>
      <c r="E35" s="25" t="n">
        <v>2</v>
      </c>
      <c r="F35" s="24" t="inlineStr">
        <is>
          <t>T-2.7 / T-1.8</t>
        </is>
      </c>
      <c r="G35" s="6" t="inlineStr">
        <is>
          <t>TC-15；取消后已改项全部回滚为原名</t>
        </is>
      </c>
      <c r="H35" s="26" t="inlineStr">
        <is>
          <t>已完成</t>
        </is>
      </c>
      <c r="I35" s="27">
        <f>SUM($E$4:E35)</f>
        <v/>
      </c>
      <c r="J35" s="28">
        <f>假设与口径!$B$4+ROUND(I35*假设与口径!$B$7,0)-1</f>
        <v/>
      </c>
      <c r="K35" s="6" t="inlineStr"/>
    </row>
    <row r="36" ht="34" customHeight="1">
      <c r="A36" s="23" t="inlineStr">
        <is>
          <t>T-4.5</t>
        </is>
      </c>
      <c r="B36" s="24" t="inlineStr">
        <is>
          <t>MS-4</t>
        </is>
      </c>
      <c r="C36" s="6" t="inlineStr">
        <is>
          <t>SCR-03 结果弹窗（摘要 / 示例 / 异常清单）</t>
        </is>
      </c>
      <c r="D36" s="24" t="inlineStr">
        <is>
          <t>渲染层</t>
        </is>
      </c>
      <c r="E36" s="25" t="n">
        <v>1.5</v>
      </c>
      <c r="F36" s="24" t="inlineStr">
        <is>
          <t>T-4.4</t>
        </is>
      </c>
      <c r="G36" s="6" t="inlineStr">
        <is>
          <t>异常清单 200 条截断并显示总数</t>
        </is>
      </c>
      <c r="H36" s="26" t="inlineStr">
        <is>
          <t>已完成</t>
        </is>
      </c>
      <c r="I36" s="27">
        <f>SUM($E$4:E36)</f>
        <v/>
      </c>
      <c r="J36" s="28">
        <f>假设与口径!$B$4+ROUND(I36*假设与口径!$B$7,0)-1</f>
        <v/>
      </c>
      <c r="K36" s="6" t="inlineStr">
        <is>
          <t>recordSaved=false 时必须明确警告</t>
        </is>
      </c>
    </row>
    <row r="37" ht="34" customHeight="1">
      <c r="A37" s="23" t="inlineStr">
        <is>
          <t>T-4.6</t>
        </is>
      </c>
      <c r="B37" s="24" t="inlineStr">
        <is>
          <t>MS-4</t>
        </is>
      </c>
      <c r="C37" s="6" t="inlineStr">
        <is>
          <t>SCR-04 冲突弹窗 + 「自动加序号」联动</t>
        </is>
      </c>
      <c r="D37" s="24" t="inlineStr">
        <is>
          <t>渲染层</t>
        </is>
      </c>
      <c r="E37" s="25" t="n">
        <v>1</v>
      </c>
      <c r="F37" s="24" t="inlineStr">
        <is>
          <t>T-4.4</t>
        </is>
      </c>
      <c r="G37" s="6" t="inlineStr">
        <is>
          <t>TC-08；默认按钮为「先不改（推荐）」</t>
        </is>
      </c>
      <c r="H37" s="26" t="inlineStr">
        <is>
          <t>已完成</t>
        </is>
      </c>
      <c r="I37" s="27">
        <f>SUM($E$4:E37)</f>
        <v/>
      </c>
      <c r="J37" s="28">
        <f>假设与口径!$B$4+ROUND(I37*假设与口径!$B$7,0)-1</f>
        <v/>
      </c>
      <c r="K37" s="6" t="inlineStr"/>
    </row>
    <row r="38" ht="34" customHeight="1">
      <c r="A38" s="23" t="inlineStr">
        <is>
          <t>T-4.7</t>
        </is>
      </c>
      <c r="B38" s="24" t="inlineStr">
        <is>
          <t>MS-4</t>
        </is>
      </c>
      <c r="C38" s="6" t="inlineStr">
        <is>
          <t>SCR-05 二次确认（四类文案）</t>
        </is>
      </c>
      <c r="D38" s="24" t="inlineStr">
        <is>
          <t>渲染层</t>
        </is>
      </c>
      <c r="E38" s="25" t="n">
        <v>1</v>
      </c>
      <c r="F38" s="24" t="inlineStr">
        <is>
          <t>T-4.4</t>
        </is>
      </c>
      <c r="G38" s="6" t="inlineStr">
        <is>
          <t>设计规范 §5.4 四类文案逐条对上</t>
        </is>
      </c>
      <c r="H38" s="26" t="inlineStr">
        <is>
          <t>已完成</t>
        </is>
      </c>
      <c r="I38" s="27">
        <f>SUM($E$4:E38)</f>
        <v/>
      </c>
      <c r="J38" s="28">
        <f>假设与口径!$B$4+ROUND(I38*假设与口径!$B$7,0)-1</f>
        <v/>
      </c>
      <c r="K38" s="6" t="inlineStr"/>
    </row>
    <row r="39" ht="34" customHeight="1">
      <c r="A39" s="23" t="inlineStr">
        <is>
          <t>T-4.8</t>
        </is>
      </c>
      <c r="B39" s="24" t="inlineStr">
        <is>
          <t>MS-4</t>
        </is>
      </c>
      <c r="C39" s="6" t="inlineStr">
        <is>
          <t>SCR-02 历史页（两态卡片 + 单条撤销 + 全部撤销 + 清空历史）</t>
        </is>
      </c>
      <c r="D39" s="24" t="inlineStr">
        <is>
          <t>渲染层</t>
        </is>
      </c>
      <c r="E39" s="25" t="n">
        <v>2</v>
      </c>
      <c r="F39" s="24" t="inlineStr">
        <is>
          <t>T-1.10</t>
        </is>
      </c>
      <c r="G39" s="6" t="inlineStr">
        <is>
          <t>TC-09 / TC-10 / TC-11</t>
        </is>
      </c>
      <c r="H39" s="26" t="inlineStr">
        <is>
          <t>已完成</t>
        </is>
      </c>
      <c r="I39" s="27">
        <f>SUM($E$4:E39)</f>
        <v/>
      </c>
      <c r="J39" s="28">
        <f>假设与口径!$B$4+ROUND(I39*假设与口径!$B$7,0)-1</f>
        <v/>
      </c>
      <c r="K39" s="6" t="inlineStr">
        <is>
          <t>「清空历史」为新增；超上限淘汰须显式提示（DEC-09）</t>
        </is>
      </c>
    </row>
    <row r="40" ht="34" customHeight="1">
      <c r="A40" s="23" t="inlineStr">
        <is>
          <t>T-4.9</t>
        </is>
      </c>
      <c r="B40" s="24" t="inlineStr">
        <is>
          <t>MS-4</t>
        </is>
      </c>
      <c r="C40" s="6" t="inlineStr">
        <is>
          <t>异常态全覆盖（EX-01 ~ EX-14 界面表现）</t>
        </is>
      </c>
      <c r="D40" s="24" t="inlineStr">
        <is>
          <t>渲染层</t>
        </is>
      </c>
      <c r="E40" s="25" t="n">
        <v>1.5</v>
      </c>
      <c r="F40" s="24" t="inlineStr">
        <is>
          <t>T-4.5</t>
        </is>
      </c>
      <c r="G40" s="6" t="inlineStr">
        <is>
          <t>文案全部取自 MD_ERROR_TEXT，无硬编码</t>
        </is>
      </c>
      <c r="H40" s="26" t="inlineStr">
        <is>
          <t>已完成</t>
        </is>
      </c>
      <c r="I40" s="27">
        <f>SUM($E$4:E40)</f>
        <v/>
      </c>
      <c r="J40" s="28">
        <f>假设与口径!$B$4+ROUND(I40*假设与口径!$B$7,0)-1</f>
        <v/>
      </c>
      <c r="K40" s="6" t="inlineStr"/>
    </row>
    <row r="41" ht="34" customHeight="1">
      <c r="A41" s="23" t="inlineStr">
        <is>
          <t>T-4.10</t>
        </is>
      </c>
      <c r="B41" s="24" t="inlineStr">
        <is>
          <t>MS-4</t>
        </is>
      </c>
      <c r="C41" s="6" t="inlineStr">
        <is>
          <t>IPC 契约测试（15 通道 · 正常与异常入参）</t>
        </is>
      </c>
      <c r="D41" s="24" t="inlineStr">
        <is>
          <t>测试</t>
        </is>
      </c>
      <c r="E41" s="25" t="n">
        <v>1</v>
      </c>
      <c r="F41" s="24" t="inlineStr">
        <is>
          <t>T-4.4</t>
        </is>
      </c>
      <c r="G41" s="6" t="inlineStr">
        <is>
          <t>每个通道正常 / 异常各一条用例</t>
        </is>
      </c>
      <c r="H41" s="26" t="inlineStr">
        <is>
          <t>已完成</t>
        </is>
      </c>
      <c r="I41" s="27">
        <f>SUM($E$4:E41)</f>
        <v/>
      </c>
      <c r="J41" s="28">
        <f>假设与口径!$B$4+ROUND(I41*假设与口径!$B$7,0)-1</f>
        <v/>
      </c>
      <c r="K41" s="6" t="inlineStr"/>
    </row>
    <row r="42" ht="34" customHeight="1">
      <c r="A42" s="23" t="inlineStr">
        <is>
          <t>T-5.1</t>
        </is>
      </c>
      <c r="B42" s="24" t="inlineStr">
        <is>
          <t>MS-5</t>
        </is>
      </c>
      <c r="C42" s="6" t="inlineStr">
        <is>
          <t>electron-builder + NSIS 配置</t>
        </is>
      </c>
      <c r="D42" s="24" t="inlineStr">
        <is>
          <t>发布</t>
        </is>
      </c>
      <c r="E42" s="25" t="n">
        <v>1</v>
      </c>
      <c r="F42" s="24" t="inlineStr">
        <is>
          <t>T-4.4</t>
        </is>
      </c>
      <c r="G42" s="6" t="inlineStr">
        <is>
          <t>生成可安装 exe；userData 为英文目录名</t>
        </is>
      </c>
      <c r="H42" s="26" t="inlineStr">
        <is>
          <t>已完成</t>
        </is>
      </c>
      <c r="I42" s="27">
        <f>SUM($E$4:E42)</f>
        <v/>
      </c>
      <c r="J42" s="28">
        <f>假设与口径!$B$4+ROUND(I42*假设与口径!$B$7,0)-1</f>
        <v/>
      </c>
      <c r="K42" s="6" t="inlineStr"/>
    </row>
    <row r="43" ht="34" customHeight="1">
      <c r="A43" s="23" t="inlineStr">
        <is>
          <t>T-5.2</t>
        </is>
      </c>
      <c r="B43" s="24" t="inlineStr">
        <is>
          <t>MS-5</t>
        </is>
      </c>
      <c r="C43" s="6" t="inlineStr">
        <is>
          <t>图标 / 版本信息 / 安装向导文案</t>
        </is>
      </c>
      <c r="D43" s="24" t="inlineStr">
        <is>
          <t>发布</t>
        </is>
      </c>
      <c r="E43" s="25" t="n">
        <v>0.5</v>
      </c>
      <c r="F43" s="24" t="inlineStr">
        <is>
          <t>T-5.1</t>
        </is>
      </c>
      <c r="G43" s="6" t="inlineStr">
        <is>
          <t>安装向导中文文案与图标正确</t>
        </is>
      </c>
      <c r="H43" s="26" t="inlineStr">
        <is>
          <t>已完成</t>
        </is>
      </c>
      <c r="I43" s="27">
        <f>SUM($E$4:E43)</f>
        <v/>
      </c>
      <c r="J43" s="28">
        <f>假设与口径!$B$4+ROUND(I43*假设与口径!$B$7,0)-1</f>
        <v/>
      </c>
      <c r="K43" s="6" t="inlineStr"/>
    </row>
    <row r="44" ht="34" customHeight="1">
      <c r="A44" s="23" t="inlineStr">
        <is>
          <t>T-5.3</t>
        </is>
      </c>
      <c r="B44" s="24" t="inlineStr">
        <is>
          <t>MS-5</t>
        </is>
      </c>
      <c r="C44" s="6" t="inlineStr">
        <is>
          <t>体积优化（electronLanguages 等）+ 实测</t>
        </is>
      </c>
      <c r="D44" s="24" t="inlineStr">
        <is>
          <t>发布</t>
        </is>
      </c>
      <c r="E44" s="25" t="n">
        <v>1</v>
      </c>
      <c r="F44" s="24" t="inlineStr">
        <is>
          <t>T-5.1</t>
        </is>
      </c>
      <c r="G44" s="6" t="inlineStr">
        <is>
          <t>安装包实测体积已记录（力争 &lt; 100MB）</t>
        </is>
      </c>
      <c r="H44" s="26" t="inlineStr">
        <is>
          <t>已完成</t>
        </is>
      </c>
      <c r="I44" s="27">
        <f>SUM($E$4:E44)</f>
        <v/>
      </c>
      <c r="J44" s="28">
        <f>假设与口径!$B$4+ROUND(I44*假设与口径!$B$7,0)-1</f>
        <v/>
      </c>
      <c r="K44" s="6" t="inlineStr">
        <is>
          <t>DEC-08：超标不阻断发布，仅记录数值</t>
        </is>
      </c>
    </row>
    <row r="45" ht="34" customHeight="1">
      <c r="A45" s="23" t="inlineStr">
        <is>
          <t>T-5.4</t>
        </is>
      </c>
      <c r="B45" s="24" t="inlineStr">
        <is>
          <t>MS-5</t>
        </is>
      </c>
      <c r="C45" s="6" t="inlineStr">
        <is>
          <t>断网验证 + 构建产物网络调用全文搜索</t>
        </is>
      </c>
      <c r="D45" s="24" t="inlineStr">
        <is>
          <t>验收</t>
        </is>
      </c>
      <c r="E45" s="25" t="n">
        <v>0.5</v>
      </c>
      <c r="F45" s="24" t="inlineStr">
        <is>
          <t>T-5.3</t>
        </is>
      </c>
      <c r="G45" s="6" t="inlineStr">
        <is>
          <t>TC-16；产物中无 fetch / XHR / net 命中</t>
        </is>
      </c>
      <c r="H45" s="26" t="inlineStr">
        <is>
          <t>未开始</t>
        </is>
      </c>
      <c r="I45" s="27">
        <f>SUM($E$4:E45)</f>
        <v/>
      </c>
      <c r="J45" s="28">
        <f>假设与口径!$B$4+ROUND(I45*假设与口径!$B$7,0)-1</f>
        <v/>
      </c>
      <c r="K45" s="6" t="inlineStr"/>
    </row>
    <row r="46" ht="34" customHeight="1">
      <c r="A46" s="23" t="inlineStr">
        <is>
          <t>T-5.5</t>
        </is>
      </c>
      <c r="B46" s="24" t="inlineStr">
        <is>
          <t>MS-5</t>
        </is>
      </c>
      <c r="C46" s="6" t="inlineStr">
        <is>
          <t>全量回归 TC-01 ~ TC-18 + 1000 项性能实测</t>
        </is>
      </c>
      <c r="D46" s="24" t="inlineStr">
        <is>
          <t>验收</t>
        </is>
      </c>
      <c r="E46" s="25" t="n">
        <v>2</v>
      </c>
      <c r="F46" s="24" t="inlineStr">
        <is>
          <t>T-5.3</t>
        </is>
      </c>
      <c r="G46" s="6" t="inlineStr">
        <is>
          <t>18 条用例全过；1000 项改名 &lt; 10 秒</t>
        </is>
      </c>
      <c r="H46" s="26" t="inlineStr">
        <is>
          <t>未开始</t>
        </is>
      </c>
      <c r="I46" s="27">
        <f>SUM($E$4:E46)</f>
        <v/>
      </c>
      <c r="J46" s="28">
        <f>假设与口径!$B$4+ROUND(I46*假设与口径!$B$7,0)-1</f>
        <v/>
      </c>
      <c r="K46" s="6" t="inlineStr"/>
    </row>
    <row r="47" ht="34" customHeight="1">
      <c r="A47" s="23" t="inlineStr">
        <is>
          <t>T-5.6</t>
        </is>
      </c>
      <c r="B47" s="24" t="inlineStr">
        <is>
          <t>MS-5</t>
        </is>
      </c>
      <c r="C47" s="6" t="inlineStr">
        <is>
          <t>真机验证（Windows 10 + Windows 11 各一轮）</t>
        </is>
      </c>
      <c r="D47" s="24" t="inlineStr">
        <is>
          <t>验收</t>
        </is>
      </c>
      <c r="E47" s="25" t="n">
        <v>1</v>
      </c>
      <c r="F47" s="24" t="inlineStr">
        <is>
          <t>T-5.5</t>
        </is>
      </c>
      <c r="G47" s="6" t="inlineStr">
        <is>
          <t>两套系统安装 / 改名 / 卸载均正常</t>
        </is>
      </c>
      <c r="H47" s="26" t="inlineStr">
        <is>
          <t>进行中</t>
        </is>
      </c>
      <c r="I47" s="27">
        <f>SUM($E$4:E47)</f>
        <v/>
      </c>
      <c r="J47" s="28">
        <f>假设与口径!$B$4+ROUND(I47*假设与口径!$B$7,0)-1</f>
        <v/>
      </c>
      <c r="K47" s="6" t="inlineStr"/>
    </row>
    <row r="48" ht="34" customHeight="1">
      <c r="A48" s="23" t="inlineStr">
        <is>
          <t>T-5.7</t>
        </is>
      </c>
      <c r="B48" s="24" t="inlineStr">
        <is>
          <t>MS-5</t>
        </is>
      </c>
      <c r="C48" s="6" t="inlineStr">
        <is>
          <t>开源仓库整理（README / 许可 / 隐私声明）</t>
        </is>
      </c>
      <c r="D48" s="24" t="inlineStr">
        <is>
          <t>发布</t>
        </is>
      </c>
      <c r="E48" s="25" t="n">
        <v>1</v>
      </c>
      <c r="F48" s="24" t="inlineStr">
        <is>
          <t>T-5.5</t>
        </is>
      </c>
      <c r="G48" s="6" t="inlineStr">
        <is>
          <t>README 含免责声明；隐私声明说明零收集</t>
        </is>
      </c>
      <c r="H48" s="26" t="inlineStr">
        <is>
          <t>未开始</t>
        </is>
      </c>
      <c r="I48" s="27">
        <f>SUM($E$4:E48)</f>
        <v/>
      </c>
      <c r="J48" s="28">
        <f>假设与口径!$B$4+ROUND(I48*假设与口径!$B$7,0)-1</f>
        <v/>
      </c>
      <c r="K48" s="6" t="inlineStr"/>
    </row>
    <row r="49">
      <c r="A49" s="12" t="inlineStr">
        <is>
          <t>合计</t>
        </is>
      </c>
      <c r="B49" s="12" t="n"/>
      <c r="C49" s="14" t="inlineStr">
        <is>
          <t>45 项任务</t>
        </is>
      </c>
      <c r="D49" s="12" t="n"/>
      <c r="E49" s="29">
        <f>SUM(E4:E48)</f>
        <v/>
      </c>
      <c r="F49" s="12" t="n"/>
      <c r="G49" s="12" t="n"/>
      <c r="H49" s="12" t="n"/>
      <c r="I49" s="29">
        <f>I48</f>
        <v/>
      </c>
      <c r="J49" s="30">
        <f>J48</f>
        <v/>
      </c>
      <c r="K49" s="12" t="n"/>
    </row>
  </sheetData>
  <autoFilter ref="A3:K48"/>
  <mergeCells count="2">
    <mergeCell ref="A2:K2"/>
    <mergeCell ref="A1:K1"/>
  </mergeCells>
  <conditionalFormatting sqref="H4:H48">
    <cfRule type="cellIs" priority="1" operator="equal" dxfId="0">
      <formula>"已完成"</formula>
    </cfRule>
    <cfRule type="cellIs" priority="2" operator="equal" dxfId="1">
      <formula>"进行中"</formula>
    </cfRule>
    <cfRule type="cellIs" priority="3" operator="equal" dxfId="2">
      <formula>"阻塞"</formula>
    </cfRule>
  </conditionalFormatting>
  <conditionalFormatting sqref="J4:J48">
    <cfRule type="expression" priority="4" dxfId="3">
      <formula>AND($J4&lt;&gt;"",$J4&lt;TODAY(),$H4&lt;&gt;"已完成")</formula>
    </cfRule>
  </conditionalFormatting>
  <dataValidations count="1">
    <dataValidation sqref="H4:H48" showDropDown="0" showInputMessage="0" showErrorMessage="0" allowBlank="0" errorTitle="状态取值无效" error="请选择：未开始 / 进行中 / 已完成 / 阻塞" type="list">
      <formula1>"未开始,进行中,已完成,阻塞"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6" customWidth="1" min="3" max="3"/>
    <col width="18" customWidth="1" min="4" max="4"/>
    <col width="10" customWidth="1" min="5" max="5"/>
    <col width="10" customWidth="1" min="6" max="6"/>
    <col width="46" customWidth="1" min="7" max="7"/>
  </cols>
  <sheetData>
    <row r="1" ht="26" customHeight="1">
      <c r="A1" s="1" t="inlineStr">
        <is>
          <t>验收用例 · 任务归属对照（PRD 第 10 章 TC-01 ~ TC-18）</t>
        </is>
      </c>
    </row>
    <row r="2" ht="30" customHeight="1">
      <c r="A2" s="3" t="inlineStr">
        <is>
          <t>用例编号</t>
        </is>
      </c>
      <c r="B2" s="3" t="inlineStr">
        <is>
          <t>用例名称</t>
        </is>
      </c>
      <c r="C2" s="3" t="inlineStr">
        <is>
          <t>对应功能</t>
        </is>
      </c>
      <c r="D2" s="3" t="inlineStr">
        <is>
          <t>主要相关任务</t>
        </is>
      </c>
      <c r="E2" s="3" t="inlineStr">
        <is>
          <t>可自动化</t>
        </is>
      </c>
      <c r="F2" s="3" t="inlineStr">
        <is>
          <t>状态</t>
        </is>
      </c>
      <c r="G2" s="3" t="inlineStr">
        <is>
          <t>验收要点</t>
        </is>
      </c>
    </row>
    <row r="3" ht="30" customHeight="1">
      <c r="A3" s="23" t="inlineStr">
        <is>
          <t>TC-01</t>
        </is>
      </c>
      <c r="B3" s="6" t="inlineStr">
        <is>
          <t>拖拽 / 按钮入列</t>
        </is>
      </c>
      <c r="C3" s="24" t="inlineStr">
        <is>
          <t>F-07 · F-01</t>
        </is>
      </c>
      <c r="D3" s="6" t="inlineStr">
        <is>
          <t>T-4.3 · T-4.2</t>
        </is>
      </c>
      <c r="E3" s="31" t="inlineStr">
        <is>
          <t>部分</t>
        </is>
      </c>
      <c r="F3" s="26" t="inlineStr">
        <is>
          <t>通过</t>
        </is>
      </c>
      <c r="G3" s="6" t="inlineStr">
        <is>
          <t>100 个文件全部入列，ST-02 触发</t>
        </is>
      </c>
    </row>
    <row r="4" ht="30" customHeight="1">
      <c r="A4" s="23" t="inlineStr">
        <is>
          <t>TC-02</t>
        </is>
      </c>
      <c r="B4" s="6" t="inlineStr">
        <is>
          <t>添加文件夹不递归</t>
        </is>
      </c>
      <c r="C4" s="24" t="inlineStr">
        <is>
          <t>DEC-01</t>
        </is>
      </c>
      <c r="D4" s="6" t="inlineStr">
        <is>
          <t>T-4.1</t>
        </is>
      </c>
      <c r="E4" s="32" t="inlineStr">
        <is>
          <t>是</t>
        </is>
      </c>
      <c r="F4" s="26" t="inlineStr">
        <is>
          <t>通过</t>
        </is>
      </c>
      <c r="G4" s="6" t="inlineStr">
        <is>
          <t>只加入文件夹本身，不展开内部</t>
        </is>
      </c>
    </row>
    <row r="5" ht="30" customHeight="1">
      <c r="A5" s="23" t="inlineStr">
        <is>
          <t>TC-03</t>
        </is>
      </c>
      <c r="B5" s="6" t="inlineStr">
        <is>
          <t>删除字符 + 变化高亮</t>
        </is>
      </c>
      <c r="C5" s="24" t="inlineStr">
        <is>
          <t>F-03 · F-08</t>
        </is>
      </c>
      <c r="D5" s="6" t="inlineStr">
        <is>
          <t>T-1.4 · T-2.5</t>
        </is>
      </c>
      <c r="E5" s="32" t="inlineStr">
        <is>
          <t>是</t>
        </is>
      </c>
      <c r="F5" s="26" t="inlineStr">
        <is>
          <t>通过</t>
        </is>
      </c>
      <c r="G5" s="6" t="inlineStr">
        <is>
          <t>abc广告.txt → abc.txt 且变化片段高亮</t>
        </is>
      </c>
    </row>
    <row r="6" ht="30" customHeight="1">
      <c r="A6" s="23" t="inlineStr">
        <is>
          <t>TC-04</t>
        </is>
      </c>
      <c r="B6" s="6" t="inlineStr">
        <is>
          <t>替换字符</t>
        </is>
      </c>
      <c r="C6" s="24" t="inlineStr">
        <is>
          <t>F-04</t>
        </is>
      </c>
      <c r="D6" s="6" t="inlineStr">
        <is>
          <t>T-1.4</t>
        </is>
      </c>
      <c r="E6" s="32" t="inlineStr">
        <is>
          <t>是</t>
        </is>
      </c>
      <c r="F6" s="26" t="inlineStr">
        <is>
          <t>通过</t>
        </is>
      </c>
      <c r="G6" s="6" t="inlineStr">
        <is>
          <t>会议纪要-最终版 → 会议纪要-定稿</t>
        </is>
      </c>
    </row>
    <row r="7" ht="30" customHeight="1">
      <c r="A7" s="23" t="inlineStr">
        <is>
          <t>TC-05</t>
        </is>
      </c>
      <c r="B7" s="6" t="inlineStr">
        <is>
          <t>扩展名保护</t>
        </is>
      </c>
      <c r="C7" s="24" t="inlineStr">
        <is>
          <t>EX-07</t>
        </is>
      </c>
      <c r="D7" s="6" t="inlineStr">
        <is>
          <t>T-1.3</t>
        </is>
      </c>
      <c r="E7" s="32" t="inlineStr">
        <is>
          <t>是</t>
        </is>
      </c>
      <c r="F7" s="26" t="inlineStr">
        <is>
          <t>通过</t>
        </is>
      </c>
      <c r="G7" s="6" t="inlineStr">
        <is>
          <t>删除「.」后扩展名前的点保留</t>
        </is>
      </c>
    </row>
    <row r="8" ht="30" customHeight="1">
      <c r="A8" s="23" t="inlineStr">
        <is>
          <t>TC-06</t>
        </is>
      </c>
      <c r="B8" s="6" t="inlineStr">
        <is>
          <t>规则化组合（日期 + 序号 + 不保留原名）</t>
        </is>
      </c>
      <c r="C8" s="24" t="inlineStr">
        <is>
          <t>F-05</t>
        </is>
      </c>
      <c r="D8" s="6" t="inlineStr">
        <is>
          <t>T-1.4</t>
        </is>
      </c>
      <c r="E8" s="32" t="inlineStr">
        <is>
          <t>是</t>
        </is>
      </c>
      <c r="F8" s="26" t="inlineStr">
        <is>
          <t>通过</t>
        </is>
      </c>
      <c r="G8" s="6" t="inlineStr">
        <is>
          <t>公式以 PRD §4.2.5 表格为准</t>
        </is>
      </c>
    </row>
    <row r="9" ht="30" customHeight="1">
      <c r="A9" s="23" t="inlineStr">
        <is>
          <t>TC-07</t>
        </is>
      </c>
      <c r="B9" s="6" t="inlineStr">
        <is>
          <t>冲突不覆盖</t>
        </is>
      </c>
      <c r="C9" s="24" t="inlineStr">
        <is>
          <t>F-16 · DEC-05</t>
        </is>
      </c>
      <c r="D9" s="6" t="inlineStr">
        <is>
          <t>T-1.7 · T-1.8</t>
        </is>
      </c>
      <c r="E9" s="32" t="inlineStr">
        <is>
          <t>是</t>
        </is>
      </c>
      <c r="F9" s="26" t="inlineStr">
        <is>
          <t>通过</t>
        </is>
      </c>
      <c r="G9" s="6" t="inlineStr">
        <is>
          <t>硬指标；磁盘文件必须零损失</t>
        </is>
      </c>
    </row>
    <row r="10" ht="30" customHeight="1">
      <c r="A10" s="23" t="inlineStr">
        <is>
          <t>TC-08</t>
        </is>
      </c>
      <c r="B10" s="6" t="inlineStr">
        <is>
          <t>自动加序号</t>
        </is>
      </c>
      <c r="C10" s="24" t="inlineStr">
        <is>
          <t>F-16</t>
        </is>
      </c>
      <c r="D10" s="6" t="inlineStr">
        <is>
          <t>T-1.7 · T-4.6</t>
        </is>
      </c>
      <c r="E10" s="32" t="inlineStr">
        <is>
          <t>是</t>
        </is>
      </c>
      <c r="F10" s="26" t="inlineStr">
        <is>
          <t>通过</t>
        </is>
      </c>
      <c r="G10" s="6" t="inlineStr">
        <is>
          <t>生成 报告_1.docx / 报告_2.docx</t>
        </is>
      </c>
    </row>
    <row r="11" ht="30" customHeight="1">
      <c r="A11" s="23" t="inlineStr">
        <is>
          <t>TC-09</t>
        </is>
      </c>
      <c r="B11" s="6" t="inlineStr">
        <is>
          <t>撤销单条</t>
        </is>
      </c>
      <c r="C11" s="24" t="inlineStr">
        <is>
          <t>F-09</t>
        </is>
      </c>
      <c r="D11" s="6" t="inlineStr">
        <is>
          <t>T-1.10 · T-4.8</t>
        </is>
      </c>
      <c r="E11" s="32" t="inlineStr">
        <is>
          <t>是</t>
        </is>
      </c>
      <c r="F11" s="26" t="inlineStr">
        <is>
          <t>通过</t>
        </is>
      </c>
      <c r="G11" s="6" t="inlineStr">
        <is>
          <t>文件名全部还原，该条转「已撤销」</t>
        </is>
      </c>
    </row>
    <row r="12" ht="30" customHeight="1">
      <c r="A12" s="23" t="inlineStr">
        <is>
          <t>TC-10</t>
        </is>
      </c>
      <c r="B12" s="6" t="inlineStr">
        <is>
          <t>历史 20 条上限</t>
        </is>
      </c>
      <c r="C12" s="24" t="inlineStr">
        <is>
          <t>DEC-06</t>
        </is>
      </c>
      <c r="D12" s="6" t="inlineStr">
        <is>
          <t>T-1.9</t>
        </is>
      </c>
      <c r="E12" s="32" t="inlineStr">
        <is>
          <t>是</t>
        </is>
      </c>
      <c r="F12" s="26" t="inlineStr">
        <is>
          <t>通过</t>
        </is>
      </c>
      <c r="G12" s="6" t="inlineStr">
        <is>
          <t>与总条数上限的取舍见数据库设计 §4.4.4</t>
        </is>
      </c>
    </row>
    <row r="13" ht="30" customHeight="1">
      <c r="A13" s="23" t="inlineStr">
        <is>
          <t>TC-11</t>
        </is>
      </c>
      <c r="B13" s="6" t="inlineStr">
        <is>
          <t>全部撤销</t>
        </is>
      </c>
      <c r="C13" s="24" t="inlineStr">
        <is>
          <t>F-09</t>
        </is>
      </c>
      <c r="D13" s="6" t="inlineStr">
        <is>
          <t>T-4.8</t>
        </is>
      </c>
      <c r="E13" s="32" t="inlineStr">
        <is>
          <t>是</t>
        </is>
      </c>
      <c r="F13" s="26" t="inlineStr">
        <is>
          <t>通过</t>
        </is>
      </c>
      <c r="G13" s="6" t="inlineStr">
        <is>
          <t>倒序逐条撤销，末了汇总提示</t>
        </is>
      </c>
    </row>
    <row r="14" ht="30" customHeight="1">
      <c r="A14" s="23" t="inlineStr">
        <is>
          <t>TC-12</t>
        </is>
      </c>
      <c r="B14" s="6" t="inlineStr">
        <is>
          <t>占用文件失败</t>
        </is>
      </c>
      <c r="C14" s="24" t="inlineStr">
        <is>
          <t>EX-03</t>
        </is>
      </c>
      <c r="D14" s="6" t="inlineStr">
        <is>
          <t>T-1.8 · T-4.9</t>
        </is>
      </c>
      <c r="E14" s="33" t="inlineStr">
        <is>
          <t>否</t>
        </is>
      </c>
      <c r="F14" s="26" t="inlineStr">
        <is>
          <t>通过</t>
        </is>
      </c>
      <c r="G14" s="6" t="inlineStr">
        <is>
          <t>需人工用记事本占用文件后执行</t>
        </is>
      </c>
    </row>
    <row r="15" ht="30" customHeight="1">
      <c r="A15" s="23" t="inlineStr">
        <is>
          <t>TC-13</t>
        </is>
      </c>
      <c r="B15" s="6" t="inlineStr">
        <is>
          <t>非法字符</t>
        </is>
      </c>
      <c r="C15" s="24" t="inlineStr">
        <is>
          <t>EX-01</t>
        </is>
      </c>
      <c r="D15" s="6" t="inlineStr">
        <is>
          <t>T-1.6</t>
        </is>
      </c>
      <c r="E15" s="32" t="inlineStr">
        <is>
          <t>是</t>
        </is>
      </c>
      <c r="F15" s="26" t="inlineStr">
        <is>
          <t>通过</t>
        </is>
      </c>
      <c r="G15" s="6" t="inlineStr">
        <is>
          <t>该行标红 + 原因「含非法字符」，不执行</t>
        </is>
      </c>
    </row>
    <row r="16" ht="30" customHeight="1">
      <c r="A16" s="23" t="inlineStr">
        <is>
          <t>TC-14</t>
        </is>
      </c>
      <c r="B16" s="6" t="inlineStr">
        <is>
          <t>改后为空</t>
        </is>
      </c>
      <c r="C16" s="24" t="inlineStr">
        <is>
          <t>EX-04</t>
        </is>
      </c>
      <c r="D16" s="6" t="inlineStr">
        <is>
          <t>T-1.6</t>
        </is>
      </c>
      <c r="E16" s="32" t="inlineStr">
        <is>
          <t>是</t>
        </is>
      </c>
      <c r="F16" s="26" t="inlineStr">
        <is>
          <t>通过</t>
        </is>
      </c>
      <c r="G16" s="6" t="inlineStr">
        <is>
          <t>标红 + 「改完名字就空了」</t>
        </is>
      </c>
    </row>
    <row r="17" ht="30" customHeight="1">
      <c r="A17" s="23" t="inlineStr">
        <is>
          <t>TC-15</t>
        </is>
      </c>
      <c r="B17" s="6" t="inlineStr">
        <is>
          <t>1000 项性能</t>
        </is>
      </c>
      <c r="C17" s="24" t="inlineStr">
        <is>
          <t>非功能</t>
        </is>
      </c>
      <c r="D17" s="6" t="inlineStr">
        <is>
          <t>T-4.4 · T-1.11</t>
        </is>
      </c>
      <c r="E17" s="31" t="inlineStr">
        <is>
          <t>部分</t>
        </is>
      </c>
      <c r="F17" s="26" t="inlineStr">
        <is>
          <t>通过</t>
        </is>
      </c>
      <c r="G17" s="6" t="inlineStr">
        <is>
          <t>改名 &lt; 10 秒且界面不卡死</t>
        </is>
      </c>
    </row>
    <row r="18" ht="30" customHeight="1">
      <c r="A18" s="23" t="inlineStr">
        <is>
          <t>TC-16</t>
        </is>
      </c>
      <c r="B18" s="6" t="inlineStr">
        <is>
          <t>离线验证</t>
        </is>
      </c>
      <c r="C18" s="24" t="inlineStr">
        <is>
          <t>隐私</t>
        </is>
      </c>
      <c r="D18" s="6" t="inlineStr">
        <is>
          <t>T-5.4</t>
        </is>
      </c>
      <c r="E18" s="33" t="inlineStr">
        <is>
          <t>否</t>
        </is>
      </c>
      <c r="F18" s="26" t="inlineStr">
        <is>
          <t>未通过</t>
        </is>
      </c>
      <c r="G18" s="6" t="inlineStr">
        <is>
          <t>断网跑全流程 + 产物搜索双验证</t>
        </is>
      </c>
    </row>
    <row r="19" ht="30" customHeight="1">
      <c r="A19" s="23" t="inlineStr">
        <is>
          <t>TC-17</t>
        </is>
      </c>
      <c r="B19" s="6" t="inlineStr">
        <is>
          <t>窗口状态记忆</t>
        </is>
      </c>
      <c r="C19" s="24" t="inlineStr">
        <is>
          <t>PRD §5.2</t>
        </is>
      </c>
      <c r="D19" s="6" t="inlineStr">
        <is>
          <t>T-2.2</t>
        </is>
      </c>
      <c r="E19" s="31" t="inlineStr">
        <is>
          <t>部分</t>
        </is>
      </c>
      <c r="F19" s="26" t="inlineStr">
        <is>
          <t>通过</t>
        </is>
      </c>
      <c r="G19" s="6" t="inlineStr">
        <is>
          <t>含「窗口跑出屏幕」防护校验</t>
        </is>
      </c>
    </row>
    <row r="20" ht="30" customHeight="1">
      <c r="A20" s="23" t="inlineStr">
        <is>
          <t>TC-18</t>
        </is>
      </c>
      <c r="B20" s="6" t="inlineStr">
        <is>
          <t>空列表保护</t>
        </is>
      </c>
      <c r="C20" s="24" t="inlineStr">
        <is>
          <t>EX-11</t>
        </is>
      </c>
      <c r="D20" s="6" t="inlineStr">
        <is>
          <t>T-2.10</t>
        </is>
      </c>
      <c r="E20" s="32" t="inlineStr">
        <is>
          <t>是</t>
        </is>
      </c>
      <c r="F20" s="26" t="inlineStr">
        <is>
          <t>通过</t>
        </is>
      </c>
      <c r="G20" s="6" t="inlineStr">
        <is>
          <t>按钮置灰不可点</t>
        </is>
      </c>
    </row>
  </sheetData>
  <autoFilter ref="A2:G20"/>
  <mergeCells count="1">
    <mergeCell ref="A1:G1"/>
  </mergeCells>
  <conditionalFormatting sqref="F3:F20">
    <cfRule type="cellIs" priority="1" operator="equal" dxfId="0">
      <formula>"通过"</formula>
    </cfRule>
    <cfRule type="cellIs" priority="2" operator="equal" dxfId="1">
      <formula>"未通过"</formula>
    </cfRule>
    <cfRule type="cellIs" priority="3" operator="equal" dxfId="2">
      <formula>"阻塞"</formula>
    </cfRule>
  </conditionalFormatting>
  <dataValidations count="1">
    <dataValidation sqref="F3:F20" showDropDown="0" showInputMessage="0" showErrorMessage="0" allowBlank="0" errorTitle="状态取值无效" error="请选择：未通过 / 通过 / 阻塞 / 不适用" type="list">
      <formula1>"未通过,通过,阻塞,不适用"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62" customWidth="1" min="3" max="3"/>
  </cols>
  <sheetData>
    <row r="1" ht="26" customHeight="1">
      <c r="A1" s="1" t="inlineStr">
        <is>
          <t>排期口径与假设（本页是全部日期公式的参数来源，改动这里会联动全局）</t>
        </is>
      </c>
    </row>
    <row r="3">
      <c r="A3" s="3" t="inlineStr">
        <is>
          <t>参数</t>
        </is>
      </c>
      <c r="B3" s="3" t="inlineStr">
        <is>
          <t>值</t>
        </is>
      </c>
      <c r="C3" s="3" t="inlineStr">
        <is>
          <t>说明</t>
        </is>
      </c>
    </row>
    <row r="4" ht="30" customHeight="1">
      <c r="A4" s="5" t="inlineStr">
        <is>
          <t>项目起始日期</t>
        </is>
      </c>
      <c r="B4" s="34" t="n">
        <v>46279</v>
      </c>
      <c r="C4" s="6" t="inlineStr">
        <is>
          <t>第一个工作日（周一）。前一日为方案定稿日</t>
        </is>
      </c>
    </row>
    <row r="5" ht="30" customHeight="1">
      <c r="A5" s="5" t="inlineStr">
        <is>
          <t>每天有效投入（小时）</t>
        </is>
      </c>
      <c r="B5" s="35" t="n">
        <v>2.5</v>
      </c>
      <c r="C5" s="6" t="inlineStr">
        <is>
          <t>业余节奏：工作日晚上为主，周末可加量</t>
        </is>
      </c>
    </row>
    <row r="6" ht="30" customHeight="1">
      <c r="A6" s="5" t="inlineStr">
        <is>
          <t>1 人日 = 小时</t>
        </is>
      </c>
      <c r="B6" s="35" t="n">
        <v>3</v>
      </c>
      <c r="C6" s="6" t="inlineStr">
        <is>
          <t>人日定义口径；已按 AI 辅助开发的速度折算</t>
        </is>
      </c>
    </row>
    <row r="7" ht="30" customHeight="1">
      <c r="A7" s="5" t="inlineStr">
        <is>
          <t>日历天 / 人日</t>
        </is>
      </c>
      <c r="B7" s="36">
        <f>B6/B5</f>
        <v/>
      </c>
      <c r="C7" s="6" t="inlineStr">
        <is>
          <t>由「1 人日小时数 ÷ 每天有效投入」推导，不手填</t>
        </is>
      </c>
    </row>
    <row r="8" ht="30" customHeight="1">
      <c r="A8" s="5" t="inlineStr">
        <is>
          <t>缓冲系数</t>
        </is>
      </c>
      <c r="B8" s="35" t="n">
        <v>1.2</v>
      </c>
      <c r="C8" s="6" t="inlineStr">
        <is>
          <t>20% 缓冲，吸收调试、返工与踩坑时间</t>
        </is>
      </c>
    </row>
    <row r="10">
      <c r="A10" s="5" t="inlineStr">
        <is>
          <t>总人日</t>
        </is>
      </c>
      <c r="B10" s="20">
        <f>SUM(任务明细!$E$4:$E$48)</f>
        <v/>
      </c>
      <c r="C10" s="37" t="n"/>
    </row>
    <row r="11">
      <c r="A11" s="5" t="inlineStr">
        <is>
          <t>折算总日历天（无缓冲）</t>
        </is>
      </c>
      <c r="B11" s="38">
        <f>ROUND(B10*B7,0)</f>
        <v/>
      </c>
      <c r="C11" s="37" t="n"/>
    </row>
    <row r="12">
      <c r="A12" s="5" t="inlineStr">
        <is>
          <t>预计完成日（无缓冲）</t>
        </is>
      </c>
      <c r="B12" s="22">
        <f>B4+B11-1</f>
        <v/>
      </c>
      <c r="C12" s="37" t="n"/>
    </row>
    <row r="13">
      <c r="A13" s="5" t="inlineStr">
        <is>
          <t>预计完成日（含 20% 缓冲）</t>
        </is>
      </c>
      <c r="B13" s="22">
        <f>B4+ROUND(B10*B7*B8,0)-1</f>
        <v/>
      </c>
      <c r="C13" s="37" t="n"/>
    </row>
    <row r="17">
      <c r="A17" s="39" t="inlineStr">
        <is>
          <t>口径说明</t>
        </is>
      </c>
    </row>
    <row r="18" ht="28" customHeight="1">
      <c r="A18" s="40" t="inlineStr">
        <is>
          <t>· 人日定义</t>
        </is>
      </c>
      <c r="B18" s="41" t="inlineStr">
        <is>
          <t>1 人日 = 3 小时有效投入，已按 AI 辅助开发（AI 写码、人做决策与验证）的速度折算。</t>
        </is>
      </c>
    </row>
    <row r="19" ht="28" customHeight="1">
      <c r="A19" s="40" t="inlineStr">
        <is>
          <t>· 日历天折算</t>
        </is>
      </c>
      <c r="B19" s="41" t="inlineStr">
        <is>
          <t>日历天 = 人日 × (3 小时 ÷ 每天有效投入)。按每天 2.5 小时计，1 人日 ≈ 1.2 个日历天。</t>
        </is>
      </c>
    </row>
    <row r="20" ht="28" customHeight="1">
      <c r="A20" s="40" t="inlineStr">
        <is>
          <t>· 里程碑衔接</t>
        </is>
      </c>
      <c r="B20" s="41" t="inlineStr">
        <is>
          <t>里程碑顺序执行。MS-3 与 MS-4 都只依赖 MS-2，理论上可并行；但由同一人推进，故按串行排。</t>
        </is>
      </c>
    </row>
    <row r="21" ht="28" customHeight="1">
      <c r="A21" s="40" t="inlineStr">
        <is>
          <t>· 未含缓冲的完成日</t>
        </is>
      </c>
      <c r="B21" s="41" t="inlineStr">
        <is>
          <t>所有里程碑日期为「无缓冲」推演值；含 20% 缓冲的完成日见上方汇总最后一行。</t>
        </is>
      </c>
    </row>
    <row r="23">
      <c r="A23" s="39" t="inlineStr">
        <is>
          <t>按当前参数推演的关键日期</t>
        </is>
      </c>
    </row>
    <row r="24" ht="28" customHeight="1">
      <c r="A24" s="40" t="inlineStr">
        <is>
          <t>· MS-1 引擎先行</t>
        </is>
      </c>
      <c r="B24" s="41" t="inlineStr">
        <is>
          <t>无依赖，最先开始。完成后即可用命令行验证改名引擎（PRD 的 MS-1 交付物）。</t>
        </is>
      </c>
    </row>
    <row r="25" ht="28" customHeight="1">
      <c r="A25" s="40" t="inlineStr">
        <is>
          <t>· MS-2 界面成型</t>
        </is>
      </c>
      <c r="B25" s="41" t="inlineStr">
        <is>
          <t>依赖 MS-1。界面上线后可完成第一次完整改名。</t>
        </is>
      </c>
    </row>
    <row r="26" ht="28" customHeight="1">
      <c r="A26" s="40" t="inlineStr">
        <is>
          <t>· MS-3 注入灵魂</t>
        </is>
      </c>
      <c r="B26" s="41" t="inlineStr">
        <is>
          <t>依赖 MS-2。含全项目工作量最大的单项（T-3.4 咬名字动画，3 人日）。</t>
        </is>
      </c>
    </row>
    <row r="27" ht="28" customHeight="1">
      <c r="A27" s="40" t="inlineStr">
        <is>
          <t>· MS-4 安全闭环</t>
        </is>
      </c>
      <c r="B27" s="41" t="inlineStr">
        <is>
          <t>依赖 MS-2。安全底线（冲突不覆盖 / 撤销）到此可端到端验证。</t>
        </is>
      </c>
    </row>
    <row r="28" ht="28" customHeight="1">
      <c r="A28" s="40" t="inlineStr">
        <is>
          <t>· MS-5 打包发布</t>
        </is>
      </c>
      <c r="B28" s="41" t="inlineStr">
        <is>
          <t>依赖 MS-3 与 MS-4。体积实测若超 100MB，需回头评审 PRD 的这一指标。</t>
        </is>
      </c>
    </row>
    <row r="30">
      <c r="A30" s="39" t="inlineStr">
        <is>
          <t>本排期表不含的内容</t>
        </is>
      </c>
    </row>
    <row r="31" ht="28" customHeight="1">
      <c r="A31" s="40" t="inlineStr">
        <is>
          <t>· P1 功能</t>
        </is>
      </c>
      <c r="B31" s="41" t="inlineStr">
        <is>
          <t>正则规则（F-10）、多规则链、大小写转换（F-11）均不在 MVP 排期内。</t>
        </is>
      </c>
    </row>
    <row r="32" ht="28" customHeight="1">
      <c r="A32" s="40" t="inlineStr">
        <is>
          <t>· P2 功能</t>
        </is>
      </c>
      <c r="B32" s="41" t="inlineStr">
        <is>
          <t>模板库（F-12）、完整历史（F-13）、深色模式（F-14）、命令行模式（F-15）不在排期内。</t>
        </is>
      </c>
    </row>
    <row r="33" ht="28" customHeight="1">
      <c r="A33" s="40" t="inlineStr">
        <is>
          <t>· 美术终稿</t>
        </is>
      </c>
      <c r="B33" s="41" t="inlineStr">
        <is>
          <t>猫咪形象为可替换占位，版权为 Accepted Risk；最终美术稿的产出时间不在本表内。</t>
        </is>
      </c>
    </row>
  </sheetData>
  <mergeCells count="16">
    <mergeCell ref="B21:C21"/>
    <mergeCell ref="B24:C24"/>
    <mergeCell ref="B33:C33"/>
    <mergeCell ref="A1:C1"/>
    <mergeCell ref="A23:C23"/>
    <mergeCell ref="B25:C25"/>
    <mergeCell ref="B19:C19"/>
    <mergeCell ref="B20:C20"/>
    <mergeCell ref="B28:C28"/>
    <mergeCell ref="A17:C17"/>
    <mergeCell ref="B32:C32"/>
    <mergeCell ref="A30:C30"/>
    <mergeCell ref="B31:C31"/>
    <mergeCell ref="B26:C26"/>
    <mergeCell ref="B27:C27"/>
    <mergeCell ref="B18:C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耄耋改名 · 技术方案实施排期表</dc:title>
  <dcterms:created xmlns:dcterms="http://purl.org/dc/terms/" xmlns:xsi="http://www.w3.org/2001/XMLSchema-instance" xsi:type="dcterms:W3CDTF">2026-09-12T04:04:06Z</dcterms:created>
  <dcterms:modified xmlns:dcterms="http://purl.org/dc/terms/" xmlns:xsi="http://www.w3.org/2001/XMLSchema-instance" xsi:type="dcterms:W3CDTF">2026-09-14T09:33:17Z</dcterms:modified>
</cp:coreProperties>
</file>